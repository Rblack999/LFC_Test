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bertBlack\Documents\Engineering\Rate_Performance\"/>
    </mc:Choice>
  </mc:AlternateContent>
  <xr:revisionPtr revIDLastSave="0" documentId="13_ncr:1_{0D402810-0DC8-4D2C-8572-DC72ED8D4FAC}" xr6:coauthVersionLast="47" xr6:coauthVersionMax="47" xr10:uidLastSave="{00000000-0000-0000-0000-000000000000}"/>
  <bookViews>
    <workbookView xWindow="-108" yWindow="-108" windowWidth="23256" windowHeight="12456" tabRatio="593" xr2:uid="{00000000-000D-0000-FFFF-FFFF00000000}"/>
  </bookViews>
  <sheets>
    <sheet name="Cell Data_LFC_Under Work_VN" sheetId="1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1" i="17" l="1"/>
  <c r="X91" i="17"/>
  <c r="Y91" i="17" s="1"/>
  <c r="Z91" i="17" s="1"/>
  <c r="AB91" i="17" s="1"/>
  <c r="V91" i="17" a="1"/>
  <c r="V91" i="17" s="1"/>
  <c r="W91" i="17" s="1"/>
  <c r="AA91" i="17" s="1"/>
  <c r="K91" i="17"/>
  <c r="L91" i="17" s="1"/>
  <c r="M91" i="17" s="1"/>
  <c r="AH90" i="17"/>
  <c r="X90" i="17"/>
  <c r="Y90" i="17" s="1"/>
  <c r="Z90" i="17" s="1"/>
  <c r="AB90" i="17" s="1"/>
  <c r="V90" i="17" a="1"/>
  <c r="V90" i="17" s="1"/>
  <c r="W90" i="17" s="1"/>
  <c r="AA90" i="17" s="1"/>
  <c r="K90" i="17"/>
  <c r="AH89" i="17"/>
  <c r="X89" i="17"/>
  <c r="Y89" i="17" s="1"/>
  <c r="Z89" i="17" s="1"/>
  <c r="AB89" i="17" s="1"/>
  <c r="V89" i="17" a="1"/>
  <c r="V89" i="17" s="1"/>
  <c r="W89" i="17" s="1"/>
  <c r="AA89" i="17" s="1"/>
  <c r="K89" i="17"/>
  <c r="L89" i="17" s="1"/>
  <c r="M89" i="17" s="1"/>
  <c r="AH88" i="17"/>
  <c r="X88" i="17"/>
  <c r="Y88" i="17" s="1"/>
  <c r="Z88" i="17" s="1"/>
  <c r="AB88" i="17" s="1"/>
  <c r="V88" i="17" a="1"/>
  <c r="V88" i="17" s="1"/>
  <c r="W88" i="17" s="1"/>
  <c r="AA88" i="17" s="1"/>
  <c r="K88" i="17"/>
  <c r="L88" i="17" s="1"/>
  <c r="M88" i="17" s="1"/>
  <c r="AH87" i="17"/>
  <c r="X87" i="17"/>
  <c r="Y87" i="17" s="1"/>
  <c r="Z87" i="17" s="1"/>
  <c r="AB87" i="17" s="1"/>
  <c r="V87" i="17" a="1"/>
  <c r="V87" i="17" s="1"/>
  <c r="W87" i="17" s="1"/>
  <c r="AA87" i="17" s="1"/>
  <c r="K87" i="17"/>
  <c r="AH85" i="17"/>
  <c r="X85" i="17"/>
  <c r="Y85" i="17" s="1"/>
  <c r="Z85" i="17" s="1"/>
  <c r="AB85" i="17" s="1"/>
  <c r="V85" i="17" a="1"/>
  <c r="V85" i="17" s="1"/>
  <c r="W85" i="17" s="1"/>
  <c r="AA85" i="17" s="1"/>
  <c r="K85" i="17"/>
  <c r="AH84" i="17"/>
  <c r="X84" i="17"/>
  <c r="Y84" i="17" s="1"/>
  <c r="Z84" i="17" s="1"/>
  <c r="AB84" i="17" s="1"/>
  <c r="V84" i="17" a="1"/>
  <c r="V84" i="17" s="1"/>
  <c r="W84" i="17" s="1"/>
  <c r="AA84" i="17" s="1"/>
  <c r="K84" i="17"/>
  <c r="L84" i="17" s="1"/>
  <c r="M84" i="17" s="1"/>
  <c r="AH83" i="17"/>
  <c r="X83" i="17"/>
  <c r="Y83" i="17" s="1"/>
  <c r="Z83" i="17" s="1"/>
  <c r="AB83" i="17" s="1"/>
  <c r="V83" i="17" a="1"/>
  <c r="V83" i="17" s="1"/>
  <c r="W83" i="17" s="1"/>
  <c r="AA83" i="17" s="1"/>
  <c r="K83" i="17"/>
  <c r="AC83" i="17" s="1"/>
  <c r="AH82" i="17"/>
  <c r="X82" i="17"/>
  <c r="Y82" i="17" s="1"/>
  <c r="Z82" i="17" s="1"/>
  <c r="AB82" i="17" s="1"/>
  <c r="V82" i="17" a="1"/>
  <c r="V82" i="17" s="1"/>
  <c r="W82" i="17" s="1"/>
  <c r="AA82" i="17" s="1"/>
  <c r="K82" i="17"/>
  <c r="L82" i="17" s="1"/>
  <c r="M82" i="17" s="1"/>
  <c r="AH81" i="17"/>
  <c r="X81" i="17"/>
  <c r="Y81" i="17" s="1"/>
  <c r="Z81" i="17" s="1"/>
  <c r="AB81" i="17" s="1"/>
  <c r="V81" i="17" a="1"/>
  <c r="V81" i="17" s="1"/>
  <c r="W81" i="17" s="1"/>
  <c r="AA81" i="17" s="1"/>
  <c r="K81" i="17"/>
  <c r="AH79" i="17"/>
  <c r="X79" i="17"/>
  <c r="Y79" i="17" s="1"/>
  <c r="Z79" i="17" s="1"/>
  <c r="AB79" i="17" s="1"/>
  <c r="V79" i="17" a="1"/>
  <c r="V79" i="17" s="1"/>
  <c r="W79" i="17" s="1"/>
  <c r="AA79" i="17" s="1"/>
  <c r="K79" i="17"/>
  <c r="L79" i="17" s="1"/>
  <c r="M79" i="17" s="1"/>
  <c r="AH78" i="17"/>
  <c r="X78" i="17"/>
  <c r="Y78" i="17" s="1"/>
  <c r="Z78" i="17" s="1"/>
  <c r="AB78" i="17" s="1"/>
  <c r="V78" i="17" a="1"/>
  <c r="V78" i="17" s="1"/>
  <c r="W78" i="17" s="1"/>
  <c r="AA78" i="17" s="1"/>
  <c r="K78" i="17"/>
  <c r="AC78" i="17" s="1"/>
  <c r="AH77" i="17"/>
  <c r="X77" i="17"/>
  <c r="Y77" i="17" s="1"/>
  <c r="Z77" i="17" s="1"/>
  <c r="AB77" i="17" s="1"/>
  <c r="V77" i="17" a="1"/>
  <c r="V77" i="17" s="1"/>
  <c r="W77" i="17" s="1"/>
  <c r="AA77" i="17" s="1"/>
  <c r="K77" i="17"/>
  <c r="L77" i="17" s="1"/>
  <c r="M77" i="17" s="1"/>
  <c r="AH76" i="17"/>
  <c r="X76" i="17"/>
  <c r="Y76" i="17" s="1"/>
  <c r="Z76" i="17" s="1"/>
  <c r="AB76" i="17" s="1"/>
  <c r="V76" i="17" a="1"/>
  <c r="V76" i="17" s="1"/>
  <c r="W76" i="17" s="1"/>
  <c r="AA76" i="17" s="1"/>
  <c r="K76" i="17"/>
  <c r="AH75" i="17"/>
  <c r="X75" i="17"/>
  <c r="Y75" i="17" s="1"/>
  <c r="Z75" i="17" s="1"/>
  <c r="AB75" i="17" s="1"/>
  <c r="V75" i="17" a="1"/>
  <c r="V75" i="17" s="1"/>
  <c r="W75" i="17" s="1"/>
  <c r="AA75" i="17" s="1"/>
  <c r="K75" i="17"/>
  <c r="AH73" i="17"/>
  <c r="X73" i="17"/>
  <c r="Y73" i="17" s="1"/>
  <c r="Z73" i="17" s="1"/>
  <c r="AB73" i="17" s="1"/>
  <c r="V73" i="17" a="1"/>
  <c r="V73" i="17" s="1"/>
  <c r="W73" i="17" s="1"/>
  <c r="AA73" i="17" s="1"/>
  <c r="K73" i="17"/>
  <c r="AH72" i="17"/>
  <c r="X72" i="17"/>
  <c r="Y72" i="17" s="1"/>
  <c r="Z72" i="17" s="1"/>
  <c r="AB72" i="17" s="1"/>
  <c r="V72" i="17" a="1"/>
  <c r="V72" i="17" s="1"/>
  <c r="W72" i="17" s="1"/>
  <c r="AA72" i="17" s="1"/>
  <c r="K72" i="17"/>
  <c r="AH71" i="17"/>
  <c r="X71" i="17"/>
  <c r="Y71" i="17" s="1"/>
  <c r="Z71" i="17" s="1"/>
  <c r="AB71" i="17" s="1"/>
  <c r="V71" i="17" a="1"/>
  <c r="V71" i="17" s="1"/>
  <c r="W71" i="17" s="1"/>
  <c r="AA71" i="17" s="1"/>
  <c r="K71" i="17"/>
  <c r="AH70" i="17"/>
  <c r="X70" i="17"/>
  <c r="Y70" i="17" s="1"/>
  <c r="Z70" i="17" s="1"/>
  <c r="AB70" i="17" s="1"/>
  <c r="V70" i="17" a="1"/>
  <c r="V70" i="17" s="1"/>
  <c r="W70" i="17" s="1"/>
  <c r="AA70" i="17" s="1"/>
  <c r="K70" i="17"/>
  <c r="L70" i="17" s="1"/>
  <c r="M70" i="17" s="1"/>
  <c r="AH69" i="17"/>
  <c r="X69" i="17"/>
  <c r="Y69" i="17" s="1"/>
  <c r="Z69" i="17" s="1"/>
  <c r="AB69" i="17" s="1"/>
  <c r="V69" i="17" a="1"/>
  <c r="V69" i="17" s="1"/>
  <c r="W69" i="17" s="1"/>
  <c r="AA69" i="17" s="1"/>
  <c r="K69" i="17"/>
  <c r="AC69" i="17" s="1"/>
  <c r="AD72" i="17" l="1"/>
  <c r="AD76" i="17"/>
  <c r="AC77" i="17"/>
  <c r="AC81" i="17"/>
  <c r="AD85" i="17"/>
  <c r="AC79" i="17"/>
  <c r="AD79" i="17"/>
  <c r="AD89" i="17"/>
  <c r="AD73" i="17"/>
  <c r="AD81" i="17"/>
  <c r="AD77" i="17"/>
  <c r="AD75" i="17"/>
  <c r="AC71" i="17"/>
  <c r="AD87" i="17"/>
  <c r="AC87" i="17"/>
  <c r="L75" i="17"/>
  <c r="M75" i="17" s="1"/>
  <c r="AD90" i="17"/>
  <c r="AC75" i="17"/>
  <c r="AD69" i="17"/>
  <c r="AC88" i="17"/>
  <c r="L76" i="17"/>
  <c r="M76" i="17" s="1"/>
  <c r="AD88" i="17"/>
  <c r="AC76" i="17"/>
  <c r="AC70" i="17"/>
  <c r="AC82" i="17"/>
  <c r="AC91" i="17"/>
  <c r="AD70" i="17"/>
  <c r="AD91" i="17"/>
  <c r="AC89" i="17"/>
  <c r="AD83" i="17"/>
  <c r="L90" i="17"/>
  <c r="M90" i="17" s="1"/>
  <c r="AC90" i="17"/>
  <c r="L73" i="17"/>
  <c r="M73" i="17" s="1"/>
  <c r="AC73" i="17"/>
  <c r="L80" i="17"/>
  <c r="L85" i="17"/>
  <c r="M85" i="17" s="1"/>
  <c r="AC85" i="17"/>
  <c r="L92" i="17"/>
  <c r="AC84" i="17"/>
  <c r="L74" i="17"/>
  <c r="AD84" i="17"/>
  <c r="L87" i="17"/>
  <c r="M87" i="17" s="1"/>
  <c r="L71" i="17"/>
  <c r="M71" i="17" s="1"/>
  <c r="AD82" i="17"/>
  <c r="AD71" i="17"/>
  <c r="L78" i="17"/>
  <c r="M78" i="17" s="1"/>
  <c r="AD78" i="17"/>
  <c r="L72" i="17"/>
  <c r="M72" i="17" s="1"/>
  <c r="AC72" i="17"/>
  <c r="L81" i="17"/>
  <c r="M81" i="17" s="1"/>
  <c r="L86" i="17"/>
  <c r="L69" i="17"/>
  <c r="M69" i="17" s="1"/>
  <c r="L83" i="17"/>
  <c r="M83" i="17" s="1"/>
  <c r="M80" i="17" l="1"/>
  <c r="M92" i="17"/>
  <c r="M74" i="17"/>
  <c r="M86" i="17"/>
  <c r="AH67" i="17" l="1"/>
  <c r="X67" i="17"/>
  <c r="Y67" i="17" s="1"/>
  <c r="Z67" i="17" s="1"/>
  <c r="AB67" i="17" s="1"/>
  <c r="V67" i="17" a="1"/>
  <c r="V67" i="17" s="1"/>
  <c r="W67" i="17" s="1"/>
  <c r="AA67" i="17" s="1"/>
  <c r="K67" i="17"/>
  <c r="L67" i="17" s="1"/>
  <c r="M67" i="17" s="1"/>
  <c r="AH66" i="17"/>
  <c r="X66" i="17"/>
  <c r="Y66" i="17" s="1"/>
  <c r="Z66" i="17" s="1"/>
  <c r="AB66" i="17" s="1"/>
  <c r="V66" i="17" a="1"/>
  <c r="V66" i="17" s="1"/>
  <c r="W66" i="17" s="1"/>
  <c r="AA66" i="17" s="1"/>
  <c r="K66" i="17"/>
  <c r="AH65" i="17"/>
  <c r="X65" i="17"/>
  <c r="Y65" i="17" s="1"/>
  <c r="Z65" i="17" s="1"/>
  <c r="AB65" i="17" s="1"/>
  <c r="V65" i="17" a="1"/>
  <c r="V65" i="17" s="1"/>
  <c r="W65" i="17" s="1"/>
  <c r="AA65" i="17" s="1"/>
  <c r="K65" i="17"/>
  <c r="L65" i="17" s="1"/>
  <c r="M65" i="17" s="1"/>
  <c r="AH64" i="17"/>
  <c r="X64" i="17"/>
  <c r="Y64" i="17" s="1"/>
  <c r="Z64" i="17" s="1"/>
  <c r="AB64" i="17" s="1"/>
  <c r="V64" i="17" a="1"/>
  <c r="V64" i="17" s="1"/>
  <c r="W64" i="17" s="1"/>
  <c r="AA64" i="17" s="1"/>
  <c r="K64" i="17"/>
  <c r="AH63" i="17"/>
  <c r="X63" i="17"/>
  <c r="Y63" i="17" s="1"/>
  <c r="Z63" i="17" s="1"/>
  <c r="AB63" i="17" s="1"/>
  <c r="V63" i="17" a="1"/>
  <c r="V63" i="17" s="1"/>
  <c r="W63" i="17" s="1"/>
  <c r="AA63" i="17" s="1"/>
  <c r="K63" i="17"/>
  <c r="L63" i="17" s="1"/>
  <c r="M63" i="17" s="1"/>
  <c r="AH61" i="17"/>
  <c r="X61" i="17"/>
  <c r="Y61" i="17" s="1"/>
  <c r="Z61" i="17" s="1"/>
  <c r="AB61" i="17" s="1"/>
  <c r="V61" i="17" a="1"/>
  <c r="V61" i="17" s="1"/>
  <c r="W61" i="17" s="1"/>
  <c r="AA61" i="17" s="1"/>
  <c r="K61" i="17"/>
  <c r="L61" i="17" s="1"/>
  <c r="M61" i="17" s="1"/>
  <c r="AH60" i="17"/>
  <c r="X60" i="17"/>
  <c r="Y60" i="17" s="1"/>
  <c r="Z60" i="17" s="1"/>
  <c r="AB60" i="17" s="1"/>
  <c r="V60" i="17" a="1"/>
  <c r="V60" i="17" s="1"/>
  <c r="W60" i="17" s="1"/>
  <c r="AA60" i="17" s="1"/>
  <c r="K60" i="17"/>
  <c r="AH59" i="17"/>
  <c r="X59" i="17"/>
  <c r="Y59" i="17" s="1"/>
  <c r="Z59" i="17" s="1"/>
  <c r="AB59" i="17" s="1"/>
  <c r="V59" i="17" a="1"/>
  <c r="V59" i="17" s="1"/>
  <c r="W59" i="17" s="1"/>
  <c r="AA59" i="17" s="1"/>
  <c r="K59" i="17"/>
  <c r="L59" i="17" s="1"/>
  <c r="M59" i="17" s="1"/>
  <c r="AH58" i="17"/>
  <c r="X58" i="17"/>
  <c r="Y58" i="17" s="1"/>
  <c r="Z58" i="17" s="1"/>
  <c r="AB58" i="17" s="1"/>
  <c r="V58" i="17" a="1"/>
  <c r="V58" i="17" s="1"/>
  <c r="W58" i="17" s="1"/>
  <c r="AA58" i="17" s="1"/>
  <c r="K58" i="17"/>
  <c r="AH57" i="17"/>
  <c r="X57" i="17"/>
  <c r="Y57" i="17" s="1"/>
  <c r="Z57" i="17" s="1"/>
  <c r="AB57" i="17" s="1"/>
  <c r="V57" i="17" a="1"/>
  <c r="V57" i="17" s="1"/>
  <c r="W57" i="17" s="1"/>
  <c r="AA57" i="17" s="1"/>
  <c r="K57" i="17"/>
  <c r="AH55" i="17"/>
  <c r="X55" i="17"/>
  <c r="Y55" i="17" s="1"/>
  <c r="Z55" i="17" s="1"/>
  <c r="AB55" i="17" s="1"/>
  <c r="V55" i="17" a="1"/>
  <c r="V55" i="17" s="1"/>
  <c r="W55" i="17" s="1"/>
  <c r="AA55" i="17" s="1"/>
  <c r="K55" i="17"/>
  <c r="AH54" i="17"/>
  <c r="X54" i="17"/>
  <c r="Y54" i="17" s="1"/>
  <c r="Z54" i="17" s="1"/>
  <c r="AB54" i="17" s="1"/>
  <c r="V54" i="17" a="1"/>
  <c r="V54" i="17" s="1"/>
  <c r="W54" i="17" s="1"/>
  <c r="AA54" i="17" s="1"/>
  <c r="K54" i="17"/>
  <c r="L54" i="17" s="1"/>
  <c r="M54" i="17" s="1"/>
  <c r="AH53" i="17"/>
  <c r="X53" i="17"/>
  <c r="Y53" i="17" s="1"/>
  <c r="Z53" i="17" s="1"/>
  <c r="AB53" i="17" s="1"/>
  <c r="V53" i="17" a="1"/>
  <c r="V53" i="17" s="1"/>
  <c r="W53" i="17" s="1"/>
  <c r="AA53" i="17" s="1"/>
  <c r="K53" i="17"/>
  <c r="L53" i="17" s="1"/>
  <c r="M53" i="17" s="1"/>
  <c r="AH52" i="17"/>
  <c r="X52" i="17"/>
  <c r="Y52" i="17" s="1"/>
  <c r="Z52" i="17" s="1"/>
  <c r="AB52" i="17" s="1"/>
  <c r="V52" i="17" a="1"/>
  <c r="V52" i="17" s="1"/>
  <c r="W52" i="17" s="1"/>
  <c r="AA52" i="17" s="1"/>
  <c r="K52" i="17"/>
  <c r="L52" i="17" s="1"/>
  <c r="M52" i="17" s="1"/>
  <c r="AH51" i="17"/>
  <c r="X51" i="17"/>
  <c r="Y51" i="17" s="1"/>
  <c r="Z51" i="17" s="1"/>
  <c r="AB51" i="17" s="1"/>
  <c r="V51" i="17" a="1"/>
  <c r="V51" i="17" s="1"/>
  <c r="W51" i="17" s="1"/>
  <c r="AA51" i="17" s="1"/>
  <c r="K51" i="17"/>
  <c r="L51" i="17" s="1"/>
  <c r="M51" i="17" s="1"/>
  <c r="AH49" i="17"/>
  <c r="X49" i="17"/>
  <c r="Y49" i="17" s="1"/>
  <c r="Z49" i="17" s="1"/>
  <c r="AB49" i="17" s="1"/>
  <c r="V49" i="17" a="1"/>
  <c r="V49" i="17" s="1"/>
  <c r="W49" i="17" s="1"/>
  <c r="AA49" i="17" s="1"/>
  <c r="K49" i="17"/>
  <c r="AH48" i="17"/>
  <c r="X48" i="17"/>
  <c r="Y48" i="17" s="1"/>
  <c r="Z48" i="17" s="1"/>
  <c r="AB48" i="17" s="1"/>
  <c r="V48" i="17" a="1"/>
  <c r="V48" i="17" s="1"/>
  <c r="W48" i="17" s="1"/>
  <c r="AA48" i="17" s="1"/>
  <c r="K48" i="17"/>
  <c r="AH47" i="17"/>
  <c r="X47" i="17"/>
  <c r="Y47" i="17" s="1"/>
  <c r="Z47" i="17" s="1"/>
  <c r="AB47" i="17" s="1"/>
  <c r="V47" i="17" a="1"/>
  <c r="V47" i="17" s="1"/>
  <c r="W47" i="17" s="1"/>
  <c r="AA47" i="17" s="1"/>
  <c r="K47" i="17"/>
  <c r="L47" i="17" s="1"/>
  <c r="M47" i="17" s="1"/>
  <c r="AH46" i="17"/>
  <c r="X46" i="17"/>
  <c r="Y46" i="17" s="1"/>
  <c r="Z46" i="17" s="1"/>
  <c r="AB46" i="17" s="1"/>
  <c r="V46" i="17" a="1"/>
  <c r="V46" i="17" s="1"/>
  <c r="W46" i="17" s="1"/>
  <c r="AA46" i="17" s="1"/>
  <c r="K46" i="17"/>
  <c r="L46" i="17" s="1"/>
  <c r="M46" i="17" s="1"/>
  <c r="AH45" i="17"/>
  <c r="X45" i="17"/>
  <c r="Y45" i="17" s="1"/>
  <c r="Z45" i="17" s="1"/>
  <c r="AB45" i="17" s="1"/>
  <c r="V45" i="17" a="1"/>
  <c r="V45" i="17" s="1"/>
  <c r="W45" i="17" s="1"/>
  <c r="AA45" i="17" s="1"/>
  <c r="K45" i="17"/>
  <c r="AC59" i="17" l="1"/>
  <c r="AC45" i="17"/>
  <c r="AD58" i="17"/>
  <c r="AC60" i="17"/>
  <c r="AC67" i="17"/>
  <c r="AC57" i="17"/>
  <c r="AC52" i="17"/>
  <c r="AD55" i="17"/>
  <c r="AD66" i="17"/>
  <c r="AD49" i="17"/>
  <c r="AD60" i="17"/>
  <c r="AD64" i="17"/>
  <c r="L58" i="17"/>
  <c r="M58" i="17" s="1"/>
  <c r="L66" i="17"/>
  <c r="M66" i="17" s="1"/>
  <c r="L49" i="17"/>
  <c r="M49" i="17" s="1"/>
  <c r="AC53" i="17"/>
  <c r="AC64" i="17"/>
  <c r="AC55" i="17"/>
  <c r="AC65" i="17"/>
  <c r="AC51" i="17"/>
  <c r="L50" i="17"/>
  <c r="O50" i="17" s="1"/>
  <c r="AC48" i="17"/>
  <c r="AD53" i="17"/>
  <c r="AD51" i="17"/>
  <c r="AD45" i="17"/>
  <c r="AD48" i="17"/>
  <c r="AD57" i="17"/>
  <c r="L45" i="17"/>
  <c r="M45" i="17" s="1"/>
  <c r="AC46" i="17"/>
  <c r="L56" i="17"/>
  <c r="L60" i="17"/>
  <c r="M60" i="17" s="1"/>
  <c r="AC61" i="17"/>
  <c r="AD65" i="17"/>
  <c r="AC66" i="17"/>
  <c r="AD59" i="17"/>
  <c r="L55" i="17"/>
  <c r="M55" i="17" s="1"/>
  <c r="M56" i="17" s="1"/>
  <c r="L64" i="17"/>
  <c r="M64" i="17" s="1"/>
  <c r="AD46" i="17"/>
  <c r="AD61" i="17"/>
  <c r="AC47" i="17"/>
  <c r="L48" i="17"/>
  <c r="M48" i="17" s="1"/>
  <c r="AC49" i="17"/>
  <c r="L57" i="17"/>
  <c r="M57" i="17" s="1"/>
  <c r="AC58" i="17"/>
  <c r="L68" i="17"/>
  <c r="AD54" i="17"/>
  <c r="AD63" i="17"/>
  <c r="AD47" i="17"/>
  <c r="L62" i="17"/>
  <c r="AD52" i="17"/>
  <c r="AD67" i="17"/>
  <c r="AC54" i="17"/>
  <c r="AC63" i="17"/>
  <c r="M68" i="17" l="1"/>
  <c r="M62" i="17"/>
  <c r="M50" i="17"/>
  <c r="O62" i="17"/>
  <c r="O68" i="17"/>
  <c r="O56" i="17"/>
  <c r="AH43" i="17" l="1"/>
  <c r="X43" i="17"/>
  <c r="Y43" i="17" s="1"/>
  <c r="Z43" i="17" s="1"/>
  <c r="AB43" i="17" s="1"/>
  <c r="V43" i="17" a="1"/>
  <c r="V43" i="17" s="1"/>
  <c r="W43" i="17" s="1"/>
  <c r="AA43" i="17" s="1"/>
  <c r="K43" i="17"/>
  <c r="L43" i="17" s="1"/>
  <c r="M43" i="17" s="1"/>
  <c r="AH42" i="17"/>
  <c r="X42" i="17"/>
  <c r="Y42" i="17" s="1"/>
  <c r="Z42" i="17" s="1"/>
  <c r="AB42" i="17" s="1"/>
  <c r="V42" i="17" a="1"/>
  <c r="V42" i="17" s="1"/>
  <c r="W42" i="17" s="1"/>
  <c r="AA42" i="17" s="1"/>
  <c r="K42" i="17"/>
  <c r="L42" i="17" s="1"/>
  <c r="M42" i="17" s="1"/>
  <c r="AH41" i="17"/>
  <c r="X41" i="17"/>
  <c r="Y41" i="17" s="1"/>
  <c r="Z41" i="17" s="1"/>
  <c r="AB41" i="17" s="1"/>
  <c r="V41" i="17" a="1"/>
  <c r="V41" i="17" s="1"/>
  <c r="W41" i="17" s="1"/>
  <c r="AA41" i="17" s="1"/>
  <c r="K41" i="17"/>
  <c r="L41" i="17" s="1"/>
  <c r="M41" i="17" s="1"/>
  <c r="AH40" i="17"/>
  <c r="X40" i="17"/>
  <c r="Y40" i="17" s="1"/>
  <c r="Z40" i="17" s="1"/>
  <c r="AB40" i="17" s="1"/>
  <c r="V40" i="17" a="1"/>
  <c r="V40" i="17" s="1"/>
  <c r="W40" i="17" s="1"/>
  <c r="AA40" i="17" s="1"/>
  <c r="K40" i="17"/>
  <c r="L40" i="17" s="1"/>
  <c r="M40" i="17" s="1"/>
  <c r="AH39" i="17"/>
  <c r="X39" i="17"/>
  <c r="Y39" i="17" s="1"/>
  <c r="Z39" i="17" s="1"/>
  <c r="AB39" i="17" s="1"/>
  <c r="V39" i="17" a="1"/>
  <c r="V39" i="17" s="1"/>
  <c r="W39" i="17" s="1"/>
  <c r="AA39" i="17" s="1"/>
  <c r="K39" i="17"/>
  <c r="L39" i="17" s="1"/>
  <c r="M39" i="17" s="1"/>
  <c r="AH37" i="17"/>
  <c r="X37" i="17"/>
  <c r="Y37" i="17" s="1"/>
  <c r="Z37" i="17" s="1"/>
  <c r="AB37" i="17" s="1"/>
  <c r="V37" i="17" a="1"/>
  <c r="V37" i="17" s="1"/>
  <c r="W37" i="17" s="1"/>
  <c r="AA37" i="17" s="1"/>
  <c r="K37" i="17"/>
  <c r="L37" i="17" s="1"/>
  <c r="M37" i="17" s="1"/>
  <c r="AH36" i="17"/>
  <c r="X36" i="17"/>
  <c r="Y36" i="17" s="1"/>
  <c r="Z36" i="17" s="1"/>
  <c r="AB36" i="17" s="1"/>
  <c r="V36" i="17" a="1"/>
  <c r="V36" i="17" s="1"/>
  <c r="W36" i="17" s="1"/>
  <c r="AA36" i="17" s="1"/>
  <c r="K36" i="17"/>
  <c r="L36" i="17" s="1"/>
  <c r="M36" i="17" s="1"/>
  <c r="AH35" i="17"/>
  <c r="X35" i="17"/>
  <c r="Y35" i="17" s="1"/>
  <c r="Z35" i="17" s="1"/>
  <c r="AB35" i="17" s="1"/>
  <c r="V35" i="17" a="1"/>
  <c r="V35" i="17" s="1"/>
  <c r="W35" i="17" s="1"/>
  <c r="AA35" i="17" s="1"/>
  <c r="K35" i="17"/>
  <c r="L35" i="17" s="1"/>
  <c r="M35" i="17" s="1"/>
  <c r="AH34" i="17"/>
  <c r="X34" i="17"/>
  <c r="Y34" i="17" s="1"/>
  <c r="Z34" i="17" s="1"/>
  <c r="AB34" i="17" s="1"/>
  <c r="V34" i="17" a="1"/>
  <c r="V34" i="17" s="1"/>
  <c r="W34" i="17" s="1"/>
  <c r="AA34" i="17" s="1"/>
  <c r="K34" i="17"/>
  <c r="L34" i="17" s="1"/>
  <c r="M34" i="17" s="1"/>
  <c r="AH33" i="17"/>
  <c r="X33" i="17"/>
  <c r="Y33" i="17" s="1"/>
  <c r="Z33" i="17" s="1"/>
  <c r="AB33" i="17" s="1"/>
  <c r="V33" i="17" a="1"/>
  <c r="V33" i="17" s="1"/>
  <c r="W33" i="17" s="1"/>
  <c r="AA33" i="17" s="1"/>
  <c r="K33" i="17"/>
  <c r="AH31" i="17"/>
  <c r="X31" i="17"/>
  <c r="Y31" i="17" s="1"/>
  <c r="Z31" i="17" s="1"/>
  <c r="AB31" i="17" s="1"/>
  <c r="V31" i="17" a="1"/>
  <c r="V31" i="17" s="1"/>
  <c r="W31" i="17" s="1"/>
  <c r="AA31" i="17" s="1"/>
  <c r="K31" i="17"/>
  <c r="L31" i="17" s="1"/>
  <c r="M31" i="17" s="1"/>
  <c r="AH30" i="17"/>
  <c r="X30" i="17"/>
  <c r="Y30" i="17" s="1"/>
  <c r="Z30" i="17" s="1"/>
  <c r="AB30" i="17" s="1"/>
  <c r="V30" i="17" a="1"/>
  <c r="V30" i="17" s="1"/>
  <c r="W30" i="17" s="1"/>
  <c r="AA30" i="17" s="1"/>
  <c r="K30" i="17"/>
  <c r="AH29" i="17"/>
  <c r="X29" i="17"/>
  <c r="Y29" i="17" s="1"/>
  <c r="Z29" i="17" s="1"/>
  <c r="AB29" i="17" s="1"/>
  <c r="V29" i="17" a="1"/>
  <c r="V29" i="17" s="1"/>
  <c r="W29" i="17" s="1"/>
  <c r="AA29" i="17" s="1"/>
  <c r="K29" i="17"/>
  <c r="AH28" i="17"/>
  <c r="X28" i="17"/>
  <c r="Y28" i="17" s="1"/>
  <c r="Z28" i="17" s="1"/>
  <c r="AB28" i="17" s="1"/>
  <c r="V28" i="17" a="1"/>
  <c r="V28" i="17" s="1"/>
  <c r="W28" i="17" s="1"/>
  <c r="AA28" i="17" s="1"/>
  <c r="K28" i="17"/>
  <c r="AH27" i="17"/>
  <c r="X27" i="17"/>
  <c r="Y27" i="17" s="1"/>
  <c r="Z27" i="17" s="1"/>
  <c r="AB27" i="17" s="1"/>
  <c r="V27" i="17" a="1"/>
  <c r="V27" i="17" s="1"/>
  <c r="W27" i="17" s="1"/>
  <c r="AA27" i="17" s="1"/>
  <c r="K27" i="17"/>
  <c r="AH25" i="17"/>
  <c r="X25" i="17"/>
  <c r="Y25" i="17" s="1"/>
  <c r="Z25" i="17" s="1"/>
  <c r="AB25" i="17" s="1"/>
  <c r="V25" i="17" a="1"/>
  <c r="V25" i="17" s="1"/>
  <c r="W25" i="17" s="1"/>
  <c r="AA25" i="17" s="1"/>
  <c r="K25" i="17"/>
  <c r="L25" i="17" s="1"/>
  <c r="M25" i="17" s="1"/>
  <c r="AH24" i="17"/>
  <c r="X24" i="17"/>
  <c r="Y24" i="17" s="1"/>
  <c r="Z24" i="17" s="1"/>
  <c r="AB24" i="17" s="1"/>
  <c r="V24" i="17" a="1"/>
  <c r="V24" i="17" s="1"/>
  <c r="W24" i="17" s="1"/>
  <c r="AA24" i="17" s="1"/>
  <c r="K24" i="17"/>
  <c r="L24" i="17" s="1"/>
  <c r="M24" i="17" s="1"/>
  <c r="AH23" i="17"/>
  <c r="X23" i="17"/>
  <c r="Y23" i="17" s="1"/>
  <c r="Z23" i="17" s="1"/>
  <c r="AB23" i="17" s="1"/>
  <c r="V23" i="17" a="1"/>
  <c r="V23" i="17" s="1"/>
  <c r="W23" i="17" s="1"/>
  <c r="AA23" i="17" s="1"/>
  <c r="K23" i="17"/>
  <c r="L23" i="17" s="1"/>
  <c r="M23" i="17" s="1"/>
  <c r="AH22" i="17"/>
  <c r="X22" i="17"/>
  <c r="Y22" i="17" s="1"/>
  <c r="Z22" i="17" s="1"/>
  <c r="AB22" i="17" s="1"/>
  <c r="V22" i="17" a="1"/>
  <c r="V22" i="17" s="1"/>
  <c r="W22" i="17" s="1"/>
  <c r="AA22" i="17" s="1"/>
  <c r="K22" i="17"/>
  <c r="L22" i="17" s="1"/>
  <c r="M22" i="17" s="1"/>
  <c r="AH21" i="17"/>
  <c r="X21" i="17"/>
  <c r="Y21" i="17" s="1"/>
  <c r="Z21" i="17" s="1"/>
  <c r="AB21" i="17" s="1"/>
  <c r="V21" i="17" a="1"/>
  <c r="V21" i="17" s="1"/>
  <c r="W21" i="17" s="1"/>
  <c r="AA21" i="17" s="1"/>
  <c r="K21" i="17"/>
  <c r="L21" i="17" s="1"/>
  <c r="M21" i="17" s="1"/>
  <c r="AD28" i="17" l="1"/>
  <c r="AD25" i="17"/>
  <c r="AC22" i="17"/>
  <c r="AC40" i="17"/>
  <c r="AC36" i="17"/>
  <c r="AD43" i="17"/>
  <c r="AD30" i="17"/>
  <c r="AD42" i="17"/>
  <c r="AC31" i="17"/>
  <c r="AC39" i="17"/>
  <c r="AD29" i="17"/>
  <c r="AD34" i="17"/>
  <c r="AC21" i="17"/>
  <c r="AC23" i="17"/>
  <c r="AD23" i="17"/>
  <c r="AC34" i="17"/>
  <c r="AD24" i="17"/>
  <c r="AC37" i="17"/>
  <c r="AD27" i="17"/>
  <c r="AC24" i="17"/>
  <c r="M44" i="17"/>
  <c r="AC41" i="17"/>
  <c r="AC35" i="17"/>
  <c r="AC25" i="17"/>
  <c r="AC43" i="17"/>
  <c r="AD33" i="17"/>
  <c r="AD39" i="17"/>
  <c r="L44" i="17"/>
  <c r="O44" i="17" s="1"/>
  <c r="L30" i="17"/>
  <c r="M30" i="17" s="1"/>
  <c r="L33" i="17"/>
  <c r="M33" i="17" s="1"/>
  <c r="M38" i="17" s="1"/>
  <c r="L38" i="17"/>
  <c r="L29" i="17"/>
  <c r="M29" i="17" s="1"/>
  <c r="L26" i="17"/>
  <c r="L28" i="17"/>
  <c r="M28" i="17" s="1"/>
  <c r="AC27" i="17"/>
  <c r="L32" i="17"/>
  <c r="AD37" i="17"/>
  <c r="L27" i="17"/>
  <c r="M27" i="17" s="1"/>
  <c r="AC33" i="17"/>
  <c r="AD22" i="17"/>
  <c r="AC30" i="17"/>
  <c r="AC29" i="17"/>
  <c r="M26" i="17"/>
  <c r="AC28" i="17"/>
  <c r="AC42" i="17"/>
  <c r="AD35" i="17"/>
  <c r="AD31" i="17"/>
  <c r="AD40" i="17"/>
  <c r="AD21" i="17"/>
  <c r="AD36" i="17"/>
  <c r="AD41" i="17"/>
  <c r="M32" i="17" l="1"/>
  <c r="O32" i="17"/>
  <c r="O26" i="17"/>
  <c r="O38" i="17"/>
  <c r="X3" i="17" l="1"/>
  <c r="Y3" i="17" s="1"/>
  <c r="Z3" i="17" s="1"/>
  <c r="AB3" i="17" s="1"/>
  <c r="V3" i="17" a="1"/>
  <c r="V3" i="17" s="1"/>
  <c r="W3" i="17" s="1"/>
  <c r="AA3" i="17" s="1"/>
  <c r="V19" i="17" a="1"/>
  <c r="V19" i="17" s="1"/>
  <c r="W19" i="17" s="1"/>
  <c r="AA19" i="17" s="1"/>
  <c r="V18" i="17" a="1"/>
  <c r="V18" i="17" s="1"/>
  <c r="W18" i="17" s="1"/>
  <c r="AA18" i="17" s="1"/>
  <c r="V17" i="17" a="1"/>
  <c r="V17" i="17" s="1"/>
  <c r="W17" i="17" s="1"/>
  <c r="AA17" i="17" s="1"/>
  <c r="V16" i="17" a="1"/>
  <c r="V16" i="17" s="1"/>
  <c r="W16" i="17" s="1"/>
  <c r="AA16" i="17" s="1"/>
  <c r="V15" i="17" a="1"/>
  <c r="V15" i="17" s="1"/>
  <c r="W15" i="17" s="1"/>
  <c r="AA15" i="17" s="1"/>
  <c r="K15" i="17"/>
  <c r="L15" i="17" s="1"/>
  <c r="M15" i="17" s="1"/>
  <c r="X15" i="17"/>
  <c r="Y15" i="17" s="1"/>
  <c r="Z15" i="17" s="1"/>
  <c r="AB15" i="17" s="1"/>
  <c r="AH15" i="17"/>
  <c r="K16" i="17"/>
  <c r="X16" i="17"/>
  <c r="Y16" i="17" s="1"/>
  <c r="Z16" i="17" s="1"/>
  <c r="AB16" i="17" s="1"/>
  <c r="AH16" i="17"/>
  <c r="K17" i="17"/>
  <c r="L17" i="17" s="1"/>
  <c r="M17" i="17" s="1"/>
  <c r="X17" i="17"/>
  <c r="Y17" i="17" s="1"/>
  <c r="Z17" i="17" s="1"/>
  <c r="AB17" i="17" s="1"/>
  <c r="AH17" i="17"/>
  <c r="K18" i="17"/>
  <c r="L18" i="17" s="1"/>
  <c r="M18" i="17" s="1"/>
  <c r="X18" i="17"/>
  <c r="Y18" i="17" s="1"/>
  <c r="Z18" i="17" s="1"/>
  <c r="AB18" i="17" s="1"/>
  <c r="AH18" i="17"/>
  <c r="K19" i="17"/>
  <c r="X19" i="17"/>
  <c r="Y19" i="17" s="1"/>
  <c r="Z19" i="17" s="1"/>
  <c r="AB19" i="17" s="1"/>
  <c r="AH19" i="17"/>
  <c r="V13" i="17" a="1"/>
  <c r="V13" i="17" s="1"/>
  <c r="W13" i="17" s="1"/>
  <c r="AA13" i="17" s="1"/>
  <c r="V12" i="17" a="1"/>
  <c r="V12" i="17" s="1"/>
  <c r="W12" i="17" s="1"/>
  <c r="AA12" i="17" s="1"/>
  <c r="V11" i="17" a="1"/>
  <c r="V11" i="17" s="1"/>
  <c r="W11" i="17" s="1"/>
  <c r="AA11" i="17" s="1"/>
  <c r="V10" i="17" a="1"/>
  <c r="V10" i="17" s="1"/>
  <c r="W10" i="17" s="1"/>
  <c r="AA10" i="17" s="1"/>
  <c r="V9" i="17" a="1"/>
  <c r="V9" i="17" s="1"/>
  <c r="W9" i="17" s="1"/>
  <c r="AA9" i="17" s="1"/>
  <c r="K9" i="17"/>
  <c r="L9" i="17"/>
  <c r="M9" i="17" s="1"/>
  <c r="X9" i="17"/>
  <c r="Y9" i="17" s="1"/>
  <c r="Z9" i="17" s="1"/>
  <c r="AB9" i="17" s="1"/>
  <c r="AH9" i="17"/>
  <c r="K10" i="17"/>
  <c r="X10" i="17"/>
  <c r="Y10" i="17" s="1"/>
  <c r="Z10" i="17" s="1"/>
  <c r="AB10" i="17" s="1"/>
  <c r="AH10" i="17"/>
  <c r="K11" i="17"/>
  <c r="L11" i="17"/>
  <c r="M11" i="17" s="1"/>
  <c r="X11" i="17"/>
  <c r="Y11" i="17" s="1"/>
  <c r="Z11" i="17" s="1"/>
  <c r="AB11" i="17" s="1"/>
  <c r="AH11" i="17"/>
  <c r="K12" i="17"/>
  <c r="X12" i="17"/>
  <c r="Y12" i="17" s="1"/>
  <c r="Z12" i="17" s="1"/>
  <c r="AB12" i="17" s="1"/>
  <c r="AH12" i="17"/>
  <c r="K13" i="17"/>
  <c r="L13" i="17" s="1"/>
  <c r="M13" i="17" s="1"/>
  <c r="X13" i="17"/>
  <c r="Y13" i="17" s="1"/>
  <c r="Z13" i="17" s="1"/>
  <c r="AB13" i="17" s="1"/>
  <c r="AH13" i="17"/>
  <c r="V7" i="17" a="1"/>
  <c r="V7" i="17" s="1"/>
  <c r="W7" i="17" s="1"/>
  <c r="AA7" i="17" s="1"/>
  <c r="AH7" i="17"/>
  <c r="X7" i="17"/>
  <c r="Y7" i="17" s="1"/>
  <c r="Z7" i="17" s="1"/>
  <c r="AB7" i="17" s="1"/>
  <c r="K7" i="17"/>
  <c r="L7" i="17" s="1"/>
  <c r="M7" i="17" s="1"/>
  <c r="V6" i="17" a="1"/>
  <c r="V6" i="17" s="1"/>
  <c r="W6" i="17" s="1"/>
  <c r="AA6" i="17" s="1"/>
  <c r="AH6" i="17"/>
  <c r="X6" i="17"/>
  <c r="Y6" i="17" s="1"/>
  <c r="Z6" i="17" s="1"/>
  <c r="AB6" i="17" s="1"/>
  <c r="K6" i="17"/>
  <c r="L6" i="17" s="1"/>
  <c r="M6" i="17" s="1"/>
  <c r="K4" i="17"/>
  <c r="L4" i="17" s="1"/>
  <c r="M4" i="17" s="1"/>
  <c r="K5" i="17"/>
  <c r="L5" i="17" s="1"/>
  <c r="M5" i="17" s="1"/>
  <c r="K3" i="17"/>
  <c r="L3" i="17" s="1"/>
  <c r="M3" i="17" s="1"/>
  <c r="V5" i="17" a="1"/>
  <c r="V5" i="17" s="1"/>
  <c r="W5" i="17" s="1"/>
  <c r="AA5" i="17" s="1"/>
  <c r="V4" i="17" a="1"/>
  <c r="V4" i="17" s="1"/>
  <c r="W4" i="17" s="1"/>
  <c r="AA4" i="17" s="1"/>
  <c r="AH3" i="17"/>
  <c r="X4" i="17"/>
  <c r="Y4" i="17" s="1"/>
  <c r="Z4" i="17" s="1"/>
  <c r="AB4" i="17" s="1"/>
  <c r="AH4" i="17"/>
  <c r="X5" i="17"/>
  <c r="Y5" i="17" s="1"/>
  <c r="Z5" i="17" s="1"/>
  <c r="AB5" i="17" s="1"/>
  <c r="AH5" i="17"/>
  <c r="AD11" i="17" l="1"/>
  <c r="AC11" i="17"/>
  <c r="AC4" i="17"/>
  <c r="AC10" i="17"/>
  <c r="AC3" i="17"/>
  <c r="AD16" i="17"/>
  <c r="AD10" i="17"/>
  <c r="AC19" i="17"/>
  <c r="AC12" i="17"/>
  <c r="AC9" i="17"/>
  <c r="L19" i="17"/>
  <c r="M19" i="17" s="1"/>
  <c r="AC17" i="17"/>
  <c r="AD17" i="17"/>
  <c r="L16" i="17"/>
  <c r="M16" i="17" s="1"/>
  <c r="AC16" i="17"/>
  <c r="L20" i="17"/>
  <c r="O20" i="17" s="1"/>
  <c r="L12" i="17"/>
  <c r="M12" i="17" s="1"/>
  <c r="L14" i="17"/>
  <c r="O14" i="17" s="1"/>
  <c r="L8" i="17"/>
  <c r="O8" i="17" s="1"/>
  <c r="AC5" i="17"/>
  <c r="AD15" i="17"/>
  <c r="AC18" i="17"/>
  <c r="AD19" i="17"/>
  <c r="AC15" i="17"/>
  <c r="AD18" i="17"/>
  <c r="AC13" i="17"/>
  <c r="AD12" i="17"/>
  <c r="L10" i="17"/>
  <c r="M10" i="17" s="1"/>
  <c r="AD13" i="17"/>
  <c r="AD9" i="17"/>
  <c r="AD5" i="17"/>
  <c r="AD4" i="17"/>
  <c r="AD3" i="17"/>
  <c r="M8" i="17"/>
  <c r="AC7" i="17"/>
  <c r="AC6" i="17"/>
  <c r="AD7" i="17"/>
  <c r="AD6" i="17"/>
  <c r="M20" i="17" l="1"/>
  <c r="M14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tc={75CB4431-8D29-42EF-9A38-F2D6C330F79B}</author>
    <author>tc={30C837FC-BEC3-447C-8D67-A5B076254BF3}</author>
  </authors>
  <commentList>
    <comment ref="B3" authorId="0" shapeId="0" xr:uid="{75CB4431-8D29-42EF-9A38-F2D6C330F79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 year</t>
      </text>
    </comment>
    <comment ref="G8" authorId="1" shapeId="0" xr:uid="{30C837FC-BEC3-447C-8D67-A5B076254BF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a year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<sst xmlns="http://schemas.openxmlformats.org/spreadsheetml/2006/main" count="525" uniqueCount="167">
  <si>
    <t>Date</t>
  </si>
  <si>
    <t>Slot Die (Microns)</t>
  </si>
  <si>
    <t>Composition % 
(AM/C/B)</t>
  </si>
  <si>
    <t>Cell Type</t>
  </si>
  <si>
    <t>ELECTRODE 
OR
CYCLING 
PROTOCOL NOTE</t>
  </si>
  <si>
    <t>AM</t>
  </si>
  <si>
    <t>Single Sided Weight (g)</t>
  </si>
  <si>
    <t>Double Sided Weight (g)</t>
  </si>
  <si>
    <t>Cathode Weight (g)</t>
  </si>
  <si>
    <t>Active Material (g)</t>
  </si>
  <si>
    <t>Single Sided Average Areal Loading (EMD mg/cm2)</t>
  </si>
  <si>
    <t>Current Density (mA/g)</t>
  </si>
  <si>
    <t xml:space="preserve"> Current (A)</t>
  </si>
  <si>
    <t>Initial electrode thickness for average</t>
  </si>
  <si>
    <t>Final electrode thickness for average</t>
  </si>
  <si>
    <t>Initial Thickness (Microns)</t>
  </si>
  <si>
    <t>Initial Thickness (cm)</t>
  </si>
  <si>
    <t>Final Thickness (Microns)</t>
  </si>
  <si>
    <t>Final Thickness (No CC)</t>
  </si>
  <si>
    <t>Final Thickness (cm)</t>
  </si>
  <si>
    <t>Volume Before (cm3)</t>
  </si>
  <si>
    <t>Volume After (cm3)</t>
  </si>
  <si>
    <t>Density Before (g/cm3)</t>
  </si>
  <si>
    <t>Density After (g/cm3)</t>
  </si>
  <si>
    <t>Electrode Resistance -4 Pt Probe (Ohm)</t>
  </si>
  <si>
    <t>Average Electrode Resistance -4 Pt Probe (Ohm)</t>
  </si>
  <si>
    <t>Through Plain Resistance Measurement</t>
  </si>
  <si>
    <t>Channel</t>
  </si>
  <si>
    <t>Initial OCV (V)</t>
  </si>
  <si>
    <t>Date Cycling</t>
  </si>
  <si>
    <t>CA</t>
  </si>
  <si>
    <t>86/11/3</t>
  </si>
  <si>
    <t>N/A</t>
  </si>
  <si>
    <t>LFC-5Ah</t>
  </si>
  <si>
    <t>LFC - 5Ah</t>
  </si>
  <si>
    <t>PAM-LFC-11-19-A1</t>
  </si>
  <si>
    <t>PAM-LFC-11-19-A2</t>
  </si>
  <si>
    <t>PAM-LFC-11-19-A3</t>
  </si>
  <si>
    <t>PAM-LFC-11-19-A4</t>
  </si>
  <si>
    <t>PAM-LFC-11-19-A5</t>
  </si>
  <si>
    <t>5C DChg and C/10 Charge</t>
  </si>
  <si>
    <t>PAM-LFC-11-19-25-CELL1</t>
  </si>
  <si>
    <t>8-1</t>
  </si>
  <si>
    <t>Nov 20,2025</t>
  </si>
  <si>
    <t>PAM-LFC-11-19-A6</t>
  </si>
  <si>
    <t>PAM-LFC-11-19-A7</t>
  </si>
  <si>
    <t>PAM-LFC-11-19-A8</t>
  </si>
  <si>
    <t>PAM-LFC-11-19-A9</t>
  </si>
  <si>
    <t>PAM-LFC-11-19-A10</t>
  </si>
  <si>
    <t>2C DChg and C/10 Charge</t>
  </si>
  <si>
    <t>PAM-LFC-11-19-25-CELL2</t>
  </si>
  <si>
    <t>8-2</t>
  </si>
  <si>
    <t>PAM-LFC-11-19-A11</t>
  </si>
  <si>
    <t>PAM-LFC-11-19-A12</t>
  </si>
  <si>
    <t>PAM-LFC-11-19-A13</t>
  </si>
  <si>
    <t>PAM-LFC-11-19-A14</t>
  </si>
  <si>
    <t>PAM-LFC-11-19-A15</t>
  </si>
  <si>
    <t>C/2 DChg and C/10 Charge</t>
  </si>
  <si>
    <t>PAM-LFC-11-19-25-CELL3</t>
  </si>
  <si>
    <t>8-3</t>
  </si>
  <si>
    <t>Electrode Name</t>
  </si>
  <si>
    <t>LFC</t>
  </si>
  <si>
    <t>Source</t>
  </si>
  <si>
    <t>PAM-LFC-11-25-A1</t>
  </si>
  <si>
    <t>PAM-LFC-11-25-A2</t>
  </si>
  <si>
    <t>PAM-LFC-11-25-A3</t>
  </si>
  <si>
    <t>PAM-LFC-11-25-A4</t>
  </si>
  <si>
    <t>PAM-LFC-11-25-A5</t>
  </si>
  <si>
    <t>PAM-LFC-11-25-25-CELL1</t>
  </si>
  <si>
    <t>NW 3, 1-5</t>
  </si>
  <si>
    <t>Nov 27,2025</t>
  </si>
  <si>
    <t>PAM-LFC-11-25-A6</t>
  </si>
  <si>
    <t>PAM-LFC-11-25-A7</t>
  </si>
  <si>
    <t>PAM-LFC-11-25-A8</t>
  </si>
  <si>
    <t>PAM-LFC-11-25-A9</t>
  </si>
  <si>
    <t>PAM-LFC-11-25-A10</t>
  </si>
  <si>
    <t>~1C DChg and C/10 Charge</t>
  </si>
  <si>
    <t>PAM-LFC-11-25-25-CELL2</t>
  </si>
  <si>
    <t>NW 3, 1-6</t>
  </si>
  <si>
    <t>PAM-LFC-11-25-A11</t>
  </si>
  <si>
    <t>PAM-LFC-11-25-A12</t>
  </si>
  <si>
    <t>PAM-LFC-11-25-A13</t>
  </si>
  <si>
    <t>PAM-LFC-11-25-A14</t>
  </si>
  <si>
    <t>PAM-LFC-11-25-A15</t>
  </si>
  <si>
    <t>Condition: 1C DChg &amp; 1C Chg Working: 5C DChg for 5 min &amp; C/10 Chg</t>
  </si>
  <si>
    <t>PAM-LFC-11-25-25-CELL3</t>
  </si>
  <si>
    <t>NW 3, 1-7</t>
  </si>
  <si>
    <t>PAM-LFC-11-25-A16</t>
  </si>
  <si>
    <t>PAM-LFC-11-25-A17</t>
  </si>
  <si>
    <t>PAM-LFC-11-25-A18</t>
  </si>
  <si>
    <t>PAM-LFC-11-25-A19</t>
  </si>
  <si>
    <t>PAM-LFC-11-25-A20</t>
  </si>
  <si>
    <t>Condition: 1C DChg &amp; 1C Chg Working: 1C DChg for 5 min &amp; C/10 Chg</t>
  </si>
  <si>
    <t>PAM-LFC-11-25-25-CELL4</t>
  </si>
  <si>
    <t>NW 3, 1-8</t>
  </si>
  <si>
    <t>PAM-LFC-12-03-A1</t>
  </si>
  <si>
    <t>PAM-LFC-12-03-A2</t>
  </si>
  <si>
    <t>PAM-LFC-12-03-A3</t>
  </si>
  <si>
    <t>PAM-LFC-12-03-A4</t>
  </si>
  <si>
    <t>PAM-LFC-12-03-A5</t>
  </si>
  <si>
    <t>Condition: 1C DChg &amp; 1C Chg Working: 5C DChg for 2 min &amp; C/10 Chg</t>
  </si>
  <si>
    <t>NW 3, 1-1</t>
  </si>
  <si>
    <t>Dec 04,2025</t>
  </si>
  <si>
    <t>PAM-LFC-12-03-A6</t>
  </si>
  <si>
    <t>PAM-LFC-12-03-A7</t>
  </si>
  <si>
    <t>PAM-LFC-12-03-A8</t>
  </si>
  <si>
    <t>PAM-LFC-12-03-A9</t>
  </si>
  <si>
    <t>PAM-LFC-12-03-A10</t>
  </si>
  <si>
    <t>Condition: 1C DChg &amp; 1C Chg Working: 5C DChg for 10 min &amp; C/10 Chg</t>
  </si>
  <si>
    <t>NW 3, 1-2</t>
  </si>
  <si>
    <t>PAM-LFC-12-03-A11</t>
  </si>
  <si>
    <t>PAM-LFC-12-03-A12</t>
  </si>
  <si>
    <t>PAM-LFC-12-03-A13</t>
  </si>
  <si>
    <t>PAM-LFC-12-03-A14</t>
  </si>
  <si>
    <t>PAM-LFC-12-03-A15</t>
  </si>
  <si>
    <t>Condition: 1C DChg &amp; 1C Chg Working: 1C DChg for 2 min &amp; C/10 Chg</t>
  </si>
  <si>
    <t>NW 3, 1-3</t>
  </si>
  <si>
    <t>PAM-LFC-12-03-A16</t>
  </si>
  <si>
    <t>PAM-LFC-12-03-A17</t>
  </si>
  <si>
    <t>PAM-LFC-12-03-A18</t>
  </si>
  <si>
    <t>PAM-LFC-12-03-A19</t>
  </si>
  <si>
    <t>PAM-LFC-12-03-A20</t>
  </si>
  <si>
    <t>Condition: 1C DChg &amp; 1C Chg Working: 1C DChg for 10 min &amp; C/10 Chg</t>
  </si>
  <si>
    <t>NW 3, 1-4</t>
  </si>
  <si>
    <t>PAM-LFC-12-04-25-CELL1</t>
  </si>
  <si>
    <t>PAM-LFC-12-04-25-CELL2</t>
  </si>
  <si>
    <t>PAM-LFC-12-04-25-CELL3</t>
  </si>
  <si>
    <t>PAM-LFC-12-04-25-CELL4</t>
  </si>
  <si>
    <t>PAM-LFC-12-10-A1</t>
  </si>
  <si>
    <t>PAM-LFC-12-10-A2</t>
  </si>
  <si>
    <t>Rested Overnight</t>
  </si>
  <si>
    <t>PAM-LFC-12-10-A3</t>
  </si>
  <si>
    <t xml:space="preserve">DChg - 1C Conditioning </t>
  </si>
  <si>
    <t>PAM-LFC-12-10-A4</t>
  </si>
  <si>
    <t xml:space="preserve">Chg - 1C Conditioning </t>
  </si>
  <si>
    <t>PAM-LFC-12-10-A5</t>
  </si>
  <si>
    <t>5C DChg - 8 Minutes</t>
  </si>
  <si>
    <t>C/10 - Chg</t>
  </si>
  <si>
    <t>NW 3, 2-1</t>
  </si>
  <si>
    <t>Dec 12,2025</t>
  </si>
  <si>
    <t>PAM-LFC-12-10-A6</t>
  </si>
  <si>
    <t>PAM-LFC-12-10-A7</t>
  </si>
  <si>
    <t>PAM-LFC-12-10-A8</t>
  </si>
  <si>
    <t>PAM-LFC-12-10-A9</t>
  </si>
  <si>
    <t>PAM-LFC-12-10-A10</t>
  </si>
  <si>
    <t>1C DChg - 18 Minutes</t>
  </si>
  <si>
    <t>NW 3, 2-2</t>
  </si>
  <si>
    <t>Dec 11,2025</t>
  </si>
  <si>
    <t>PAM-LFC-12-10-A11</t>
  </si>
  <si>
    <t>PAM-LFC-12-10-A12</t>
  </si>
  <si>
    <t>PAM-LFC-12-10-A13</t>
  </si>
  <si>
    <t>PAM-LFC-12-10-A14</t>
  </si>
  <si>
    <t>PAM-LFC-12-10-A15</t>
  </si>
  <si>
    <t>5C DChg - 5 Minutes</t>
  </si>
  <si>
    <t>C/10 - Chg, 24 HR Rest</t>
  </si>
  <si>
    <t>NW 3, 2-3</t>
  </si>
  <si>
    <t>PAM-LFC-12-10-A16</t>
  </si>
  <si>
    <t>PAM-LFC-12-10-A17</t>
  </si>
  <si>
    <t>PAM-LFC-12-10-A18</t>
  </si>
  <si>
    <t>PAM-LFC-12-10-A19</t>
  </si>
  <si>
    <t>PAM-LFC-12-10-A20</t>
  </si>
  <si>
    <t>1C DChg - 5 Minutes</t>
  </si>
  <si>
    <t>NW 3, 2-4</t>
  </si>
  <si>
    <t>PAM-LFC-12-10-25-CELL4</t>
  </si>
  <si>
    <t>PAM-LFC-12-10-25-CELL3</t>
  </si>
  <si>
    <t>PAM-LFC-12-10-25-CELL2</t>
  </si>
  <si>
    <t>PAM-LFC-12-10-25-CELL1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</si>
</sst>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quotePrefix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49" fontId="1" fillId="2" borderId="7" xfId="0" quotePrefix="1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5" fontId="1" fillId="2" borderId="8" xfId="0" applyNumberFormat="1" applyFont="1" applyFill="1" applyBorder="1" applyAlignment="1">
      <alignment horizontal="center" vertical="center"/>
    </xf>
    <xf numFmtId="15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165" fontId="1" fillId="2" borderId="10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49" fontId="1" fillId="0" borderId="10" xfId="0" quotePrefix="1" applyNumberFormat="1" applyFont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3" fillId="2" borderId="10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5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49" fontId="1" fillId="2" borderId="2" xfId="0" quotePrefix="1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5" fontId="1" fillId="2" borderId="15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15" fontId="1" fillId="0" borderId="17" xfId="0" applyNumberFormat="1" applyFont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165" fontId="4" fillId="2" borderId="1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66" fontId="1" fillId="2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etro Kirovsky" id="{5EE2EBCC-359A-42B1-9312-D28E0516C863}" userId="S::petro.kirovsky@salientenergyinc.com::206e1df5-5b89-4d52-8f9f-6d4901deef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21T15:35:48.23" personId="{5EE2EBCC-359A-42B1-9312-D28E0516C863}" id="{75CB4431-8D29-42EF-9A38-F2D6C330F79B}">
    <text>Add a year</text>
  </threadedComment>
  <threadedComment ref="G8" dT="2025-11-21T15:35:13.12" personId="{5EE2EBCC-359A-42B1-9312-D28E0516C863}" id="{30C837FC-BEC3-447C-8D67-A5B076254BF3}" done="1">
    <text>Add a year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CEA3-F71E-48BF-8269-8C672C9D36CF}">
  <sheetPr>
    <tabColor rgb="FFFFC000"/>
  </sheetPr>
  <dimension ref="A1:AM157"/>
  <sheetViews>
    <sheetView tabSelected="1" zoomScale="80" zoomScaleNormal="80" workbookViewId="0">
      <pane ySplit="2" topLeftCell="A45" activePane="bottomLeft" state="frozen"/>
      <selection pane="bottomLeft" activeCell="H50" sqref="H50"/>
    </sheetView>
  </sheetViews>
  <sheetFormatPr defaultRowHeight="15" customHeight="1" x14ac:dyDescent="0.3"/>
  <cols>
    <col min="1" max="1" width="14.109375" style="2" customWidth="1"/>
    <col min="2" max="2" width="15.109375" style="43" customWidth="1"/>
    <col min="3" max="3" width="16.33203125" style="2" customWidth="1"/>
    <col min="4" max="4" width="24.5546875" style="2" customWidth="1"/>
    <col min="5" max="5" width="13.88671875" style="2" customWidth="1"/>
    <col min="6" max="6" width="27.33203125" style="2" customWidth="1"/>
    <col min="7" max="7" width="25.5546875" style="2" customWidth="1"/>
    <col min="8" max="8" width="10.5546875" style="2" customWidth="1"/>
    <col min="9" max="9" width="13.44140625" style="2" customWidth="1"/>
    <col min="10" max="10" width="12.44140625" style="2" customWidth="1"/>
    <col min="11" max="11" width="12.6640625" style="2" customWidth="1"/>
    <col min="12" max="12" width="12" style="2" customWidth="1"/>
    <col min="13" max="13" width="21.6640625" style="2" customWidth="1"/>
    <col min="14" max="14" width="12.6640625" style="2" customWidth="1"/>
    <col min="15" max="15" width="11.6640625" style="2" bestFit="1" customWidth="1"/>
    <col min="16" max="18" width="10.5546875" style="2" customWidth="1"/>
    <col min="19" max="21" width="10.33203125" style="2" customWidth="1"/>
    <col min="22" max="22" width="13.5546875" style="2" customWidth="1"/>
    <col min="23" max="23" width="12.88671875" style="2" customWidth="1"/>
    <col min="24" max="24" width="13.88671875" style="2" customWidth="1"/>
    <col min="25" max="25" width="14.44140625" style="2" customWidth="1"/>
    <col min="26" max="26" width="13.44140625" style="2" customWidth="1"/>
    <col min="27" max="27" width="12.33203125" style="2" customWidth="1"/>
    <col min="28" max="28" width="11.109375" style="2" customWidth="1"/>
    <col min="29" max="29" width="12" style="2" customWidth="1"/>
    <col min="30" max="30" width="14.109375" style="2" customWidth="1"/>
    <col min="31" max="31" width="10.6640625" style="2" customWidth="1"/>
    <col min="32" max="32" width="11.5546875" style="2" customWidth="1"/>
    <col min="33" max="33" width="12.5546875" style="2" customWidth="1"/>
    <col min="34" max="34" width="16.109375" style="2" customWidth="1"/>
    <col min="35" max="35" width="20.44140625" style="2" customWidth="1"/>
    <col min="36" max="36" width="13.88671875" style="2" customWidth="1"/>
    <col min="37" max="37" width="13" style="2" customWidth="1"/>
    <col min="38" max="38" width="13.6640625" style="2" bestFit="1" customWidth="1"/>
    <col min="39" max="16376" width="8.88671875" style="2"/>
    <col min="16377" max="16379" width="8.88671875" style="2" bestFit="1" customWidth="1"/>
    <col min="16380" max="16384" width="8.88671875" style="2"/>
  </cols>
  <sheetData>
    <row r="1" spans="1:39" ht="15" customHeight="1" x14ac:dyDescent="0.3">
      <c r="A1" s="61" t="s">
        <v>62</v>
      </c>
      <c r="B1" s="66" t="s">
        <v>0</v>
      </c>
      <c r="C1" s="61" t="s">
        <v>1</v>
      </c>
      <c r="D1" s="61" t="s">
        <v>2</v>
      </c>
      <c r="E1" s="61" t="s">
        <v>3</v>
      </c>
      <c r="F1" s="61" t="s">
        <v>4</v>
      </c>
      <c r="G1" s="61" t="s">
        <v>60</v>
      </c>
      <c r="H1" s="61" t="s">
        <v>5</v>
      </c>
      <c r="I1" s="61" t="s">
        <v>6</v>
      </c>
      <c r="J1" s="61" t="s">
        <v>7</v>
      </c>
      <c r="K1" s="61" t="s">
        <v>8</v>
      </c>
      <c r="L1" s="61" t="s">
        <v>9</v>
      </c>
      <c r="M1" s="61" t="s">
        <v>10</v>
      </c>
      <c r="N1" s="61" t="s">
        <v>11</v>
      </c>
      <c r="O1" s="61" t="s">
        <v>12</v>
      </c>
      <c r="P1" s="61" t="s">
        <v>13</v>
      </c>
      <c r="Q1" s="61"/>
      <c r="R1" s="61"/>
      <c r="S1" s="61" t="s">
        <v>14</v>
      </c>
      <c r="T1" s="61"/>
      <c r="U1" s="61"/>
      <c r="V1" s="61" t="s">
        <v>15</v>
      </c>
      <c r="W1" s="61" t="s">
        <v>16</v>
      </c>
      <c r="X1" s="61" t="s">
        <v>17</v>
      </c>
      <c r="Y1" s="61" t="s">
        <v>18</v>
      </c>
      <c r="Z1" s="61" t="s">
        <v>19</v>
      </c>
      <c r="AA1" s="61" t="s">
        <v>20</v>
      </c>
      <c r="AB1" s="61" t="s">
        <v>21</v>
      </c>
      <c r="AC1" s="61" t="s">
        <v>22</v>
      </c>
      <c r="AD1" s="61" t="s">
        <v>23</v>
      </c>
      <c r="AE1" s="61" t="s">
        <v>24</v>
      </c>
      <c r="AF1" s="61"/>
      <c r="AG1" s="61"/>
      <c r="AH1" s="61" t="s">
        <v>25</v>
      </c>
      <c r="AI1" s="62" t="s">
        <v>26</v>
      </c>
      <c r="AJ1" s="64" t="s">
        <v>27</v>
      </c>
      <c r="AK1" s="61" t="s">
        <v>28</v>
      </c>
      <c r="AL1" s="61" t="s">
        <v>29</v>
      </c>
    </row>
    <row r="2" spans="1:39" ht="88.95" customHeight="1" thickBot="1" x14ac:dyDescent="0.35">
      <c r="A2" s="62"/>
      <c r="B2" s="67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3"/>
      <c r="AJ2" s="65"/>
      <c r="AK2" s="62"/>
      <c r="AL2" s="62"/>
    </row>
    <row r="3" spans="1:39" ht="15.75" customHeight="1" thickBot="1" x14ac:dyDescent="0.35">
      <c r="A3" s="15" t="s">
        <v>30</v>
      </c>
      <c r="B3" s="41">
        <v>45980</v>
      </c>
      <c r="C3" s="1">
        <v>300</v>
      </c>
      <c r="D3" s="7" t="s">
        <v>31</v>
      </c>
      <c r="E3" s="17" t="s">
        <v>34</v>
      </c>
      <c r="F3" s="18"/>
      <c r="G3" s="16" t="s">
        <v>35</v>
      </c>
      <c r="H3" s="16">
        <v>0.86</v>
      </c>
      <c r="I3" s="5" t="s">
        <v>32</v>
      </c>
      <c r="J3" s="19">
        <v>16.13</v>
      </c>
      <c r="K3" s="21">
        <f>J3-6.51</f>
        <v>9.6199999999999992</v>
      </c>
      <c r="L3" s="20">
        <f>K3*H3</f>
        <v>8.2731999999999992</v>
      </c>
      <c r="M3" s="21">
        <f>L3/(275*2)*1000</f>
        <v>15.042181818181817</v>
      </c>
      <c r="N3" s="21"/>
      <c r="O3" s="21"/>
      <c r="P3" s="19">
        <v>241</v>
      </c>
      <c r="Q3" s="19">
        <v>252</v>
      </c>
      <c r="R3" s="19">
        <v>262</v>
      </c>
      <c r="S3" s="16">
        <v>197</v>
      </c>
      <c r="T3" s="16">
        <v>209</v>
      </c>
      <c r="U3" s="16">
        <v>210</v>
      </c>
      <c r="V3" s="22" cm="1">
        <f t="array" ref="V3">AVERAGE((P3:R3)-30.75)</f>
        <v>220.91666666666666</v>
      </c>
      <c r="W3" s="21">
        <f>V3/10000</f>
        <v>2.2091666666666666E-2</v>
      </c>
      <c r="X3" s="22">
        <f>AVERAGE(S3:U3)</f>
        <v>205.33333333333334</v>
      </c>
      <c r="Y3" s="21">
        <f>X3-30.75</f>
        <v>174.58333333333334</v>
      </c>
      <c r="Z3" s="20">
        <f>Y3/10000</f>
        <v>1.7458333333333333E-2</v>
      </c>
      <c r="AA3" s="20">
        <f>11*25*W3</f>
        <v>6.0752083333333333</v>
      </c>
      <c r="AB3" s="20">
        <f>11*25*Z3</f>
        <v>4.8010416666666664</v>
      </c>
      <c r="AC3" s="21">
        <f>K3/AA3</f>
        <v>1.5834847913308869</v>
      </c>
      <c r="AD3" s="21">
        <f>K3/AB3</f>
        <v>2.0037318290301585</v>
      </c>
      <c r="AE3" s="19"/>
      <c r="AF3" s="19">
        <v>7.72</v>
      </c>
      <c r="AG3" s="19"/>
      <c r="AH3" s="21">
        <f>AVERAGE(AE3:AG3)</f>
        <v>7.72</v>
      </c>
      <c r="AI3" s="19">
        <v>13.04</v>
      </c>
      <c r="AJ3" s="23"/>
      <c r="AK3" s="24"/>
      <c r="AL3" s="25"/>
      <c r="AM3" s="14"/>
    </row>
    <row r="4" spans="1:39" ht="15.6" x14ac:dyDescent="0.3">
      <c r="A4" s="6" t="s">
        <v>30</v>
      </c>
      <c r="B4" s="41">
        <v>45980</v>
      </c>
      <c r="C4" s="1">
        <v>300</v>
      </c>
      <c r="D4" s="7" t="s">
        <v>31</v>
      </c>
      <c r="E4" s="17" t="s">
        <v>34</v>
      </c>
      <c r="F4" s="8"/>
      <c r="G4" s="16" t="s">
        <v>36</v>
      </c>
      <c r="H4" s="1">
        <v>0.86</v>
      </c>
      <c r="I4" s="1" t="s">
        <v>32</v>
      </c>
      <c r="J4" s="3">
        <v>15.71</v>
      </c>
      <c r="K4" s="10">
        <f>J4-6.51</f>
        <v>9.2000000000000011</v>
      </c>
      <c r="L4" s="9">
        <f>K4*H4</f>
        <v>7.9120000000000008</v>
      </c>
      <c r="M4" s="10">
        <f>L4/(275*2)*1000</f>
        <v>14.385454545454547</v>
      </c>
      <c r="N4" s="10"/>
      <c r="O4" s="10"/>
      <c r="P4" s="3">
        <v>222</v>
      </c>
      <c r="Q4" s="3">
        <v>241</v>
      </c>
      <c r="R4" s="3">
        <v>238</v>
      </c>
      <c r="S4" s="1">
        <v>201</v>
      </c>
      <c r="T4" s="1">
        <v>202</v>
      </c>
      <c r="U4" s="1">
        <v>192</v>
      </c>
      <c r="V4" s="11" cm="1">
        <f t="array" ref="V4">AVERAGE((P4:R4)-30.75)</f>
        <v>202.91666666666666</v>
      </c>
      <c r="W4" s="10">
        <f>V4/10000</f>
        <v>2.0291666666666666E-2</v>
      </c>
      <c r="X4" s="11">
        <f>AVERAGE(S4:U4)</f>
        <v>198.33333333333334</v>
      </c>
      <c r="Y4" s="10">
        <f>X4-30.75</f>
        <v>167.58333333333334</v>
      </c>
      <c r="Z4" s="9">
        <f>Y4/10000</f>
        <v>1.6758333333333333E-2</v>
      </c>
      <c r="AA4" s="9">
        <f>11*25*W4</f>
        <v>5.5802083333333332</v>
      </c>
      <c r="AB4" s="9">
        <f>11*25*Z4</f>
        <v>4.6085416666666665</v>
      </c>
      <c r="AC4" s="10">
        <f>K4/AA4</f>
        <v>1.648683964905731</v>
      </c>
      <c r="AD4" s="10">
        <f>K4/AB4</f>
        <v>1.9962931151394605</v>
      </c>
      <c r="AE4" s="3"/>
      <c r="AF4" s="3">
        <v>6.6</v>
      </c>
      <c r="AG4" s="3"/>
      <c r="AH4" s="10">
        <f>AVERAGE(AE4:AG4)</f>
        <v>6.6</v>
      </c>
      <c r="AI4" s="3">
        <v>12.55</v>
      </c>
      <c r="AJ4" s="13"/>
      <c r="AK4" s="12"/>
      <c r="AL4" s="26"/>
      <c r="AM4" s="14"/>
    </row>
    <row r="5" spans="1:39" ht="15.6" x14ac:dyDescent="0.3">
      <c r="A5" s="6" t="s">
        <v>30</v>
      </c>
      <c r="B5" s="41">
        <v>45980</v>
      </c>
      <c r="C5" s="1">
        <v>300</v>
      </c>
      <c r="D5" s="7" t="s">
        <v>31</v>
      </c>
      <c r="E5" s="17" t="s">
        <v>34</v>
      </c>
      <c r="F5" s="8"/>
      <c r="G5" s="16" t="s">
        <v>37</v>
      </c>
      <c r="H5" s="1">
        <v>0.86</v>
      </c>
      <c r="I5" s="1" t="s">
        <v>32</v>
      </c>
      <c r="J5" s="3">
        <v>15.78</v>
      </c>
      <c r="K5" s="10">
        <f>J5-6.51</f>
        <v>9.27</v>
      </c>
      <c r="L5" s="9">
        <f>K5*H5</f>
        <v>7.9722</v>
      </c>
      <c r="M5" s="10">
        <f>L5/(275*2)*1000</f>
        <v>14.494909090909092</v>
      </c>
      <c r="N5" s="10"/>
      <c r="O5" s="10"/>
      <c r="P5" s="3">
        <v>240</v>
      </c>
      <c r="Q5" s="3">
        <v>237</v>
      </c>
      <c r="R5" s="3">
        <v>246</v>
      </c>
      <c r="S5" s="1">
        <v>198</v>
      </c>
      <c r="T5" s="1">
        <v>202</v>
      </c>
      <c r="U5" s="1">
        <v>196</v>
      </c>
      <c r="V5" s="11" cm="1">
        <f t="array" ref="V5">AVERAGE((P5:R5)-30.75)</f>
        <v>210.25</v>
      </c>
      <c r="W5" s="10">
        <f>V5/10000</f>
        <v>2.1024999999999999E-2</v>
      </c>
      <c r="X5" s="11">
        <f>AVERAGE(S5:U5)</f>
        <v>198.66666666666666</v>
      </c>
      <c r="Y5" s="10">
        <f>X5-30.75</f>
        <v>167.91666666666666</v>
      </c>
      <c r="Z5" s="9">
        <f>Y5/10000</f>
        <v>1.6791666666666667E-2</v>
      </c>
      <c r="AA5" s="9">
        <f>11*25*W5</f>
        <v>5.7818749999999994</v>
      </c>
      <c r="AB5" s="9">
        <f>11*25*Z5</f>
        <v>4.6177083333333329</v>
      </c>
      <c r="AC5" s="10">
        <f>K5/AA5</f>
        <v>1.6032861312290565</v>
      </c>
      <c r="AD5" s="10">
        <f>K5/AB5</f>
        <v>2.0074892849086399</v>
      </c>
      <c r="AE5" s="3"/>
      <c r="AF5" s="3">
        <v>6.97</v>
      </c>
      <c r="AG5" s="3"/>
      <c r="AH5" s="10">
        <f>AVERAGE(AE5:AG5)</f>
        <v>6.97</v>
      </c>
      <c r="AI5" s="3">
        <v>13.08</v>
      </c>
      <c r="AJ5" s="13"/>
      <c r="AK5" s="12"/>
      <c r="AL5" s="26"/>
      <c r="AM5" s="14"/>
    </row>
    <row r="6" spans="1:39" ht="15.6" x14ac:dyDescent="0.3">
      <c r="A6" s="15" t="s">
        <v>30</v>
      </c>
      <c r="B6" s="41">
        <v>45980</v>
      </c>
      <c r="C6" s="1">
        <v>300</v>
      </c>
      <c r="D6" s="7" t="s">
        <v>31</v>
      </c>
      <c r="E6" s="17" t="s">
        <v>34</v>
      </c>
      <c r="F6" s="8"/>
      <c r="G6" s="16" t="s">
        <v>38</v>
      </c>
      <c r="H6" s="1">
        <v>0.86</v>
      </c>
      <c r="I6" s="1" t="s">
        <v>32</v>
      </c>
      <c r="J6" s="3">
        <v>15.21</v>
      </c>
      <c r="K6" s="10">
        <f>J6-6.51</f>
        <v>8.7000000000000011</v>
      </c>
      <c r="L6" s="9">
        <f>K6*H6</f>
        <v>7.4820000000000011</v>
      </c>
      <c r="M6" s="10">
        <f>L6/(275*2)*1000</f>
        <v>13.603636363636367</v>
      </c>
      <c r="N6" s="10"/>
      <c r="O6" s="10"/>
      <c r="P6" s="3">
        <v>236</v>
      </c>
      <c r="Q6" s="3">
        <v>235</v>
      </c>
      <c r="R6" s="3">
        <v>234</v>
      </c>
      <c r="S6" s="1">
        <v>198</v>
      </c>
      <c r="T6" s="1">
        <v>202</v>
      </c>
      <c r="U6" s="1">
        <v>190</v>
      </c>
      <c r="V6" s="11" cm="1">
        <f t="array" ref="V6">AVERAGE((P6:R6)-30.75)</f>
        <v>204.25</v>
      </c>
      <c r="W6" s="10">
        <f>V6/10000</f>
        <v>2.0424999999999999E-2</v>
      </c>
      <c r="X6" s="11">
        <f>AVERAGE(S6:U6)</f>
        <v>196.66666666666666</v>
      </c>
      <c r="Y6" s="10">
        <f>X6-30.75</f>
        <v>165.91666666666666</v>
      </c>
      <c r="Z6" s="9">
        <f>Y6/10000</f>
        <v>1.6591666666666664E-2</v>
      </c>
      <c r="AA6" s="9">
        <f>11*25*W6</f>
        <v>5.6168749999999994</v>
      </c>
      <c r="AB6" s="9">
        <f>11*25*Z6</f>
        <v>4.5627083333333323</v>
      </c>
      <c r="AC6" s="10">
        <f>K6/AA6</f>
        <v>1.5489039724045848</v>
      </c>
      <c r="AD6" s="10">
        <f>K6/AB6</f>
        <v>1.9067622482991651</v>
      </c>
      <c r="AE6" s="3"/>
      <c r="AF6" s="3">
        <v>4.1500000000000004</v>
      </c>
      <c r="AG6" s="3"/>
      <c r="AH6" s="10">
        <f>AVERAGE(AE6:AG6)</f>
        <v>4.1500000000000004</v>
      </c>
      <c r="AI6" s="3">
        <v>8.69</v>
      </c>
      <c r="AJ6" s="13"/>
      <c r="AK6" s="12"/>
      <c r="AL6" s="26"/>
      <c r="AM6" s="14"/>
    </row>
    <row r="7" spans="1:39" ht="15.6" x14ac:dyDescent="0.3">
      <c r="A7" s="6" t="s">
        <v>30</v>
      </c>
      <c r="B7" s="41">
        <v>45980</v>
      </c>
      <c r="C7" s="1">
        <v>300</v>
      </c>
      <c r="D7" s="7" t="s">
        <v>31</v>
      </c>
      <c r="E7" s="17" t="s">
        <v>34</v>
      </c>
      <c r="F7" s="8"/>
      <c r="G7" s="16" t="s">
        <v>39</v>
      </c>
      <c r="H7" s="1">
        <v>0.86</v>
      </c>
      <c r="I7" s="1" t="s">
        <v>32</v>
      </c>
      <c r="J7" s="3">
        <v>15.23</v>
      </c>
      <c r="K7" s="10">
        <f>J7-6.51</f>
        <v>8.7200000000000006</v>
      </c>
      <c r="L7" s="9">
        <f>K7*H7</f>
        <v>7.4992000000000001</v>
      </c>
      <c r="M7" s="10">
        <f>L7/(275*2)*1000</f>
        <v>13.634909090909092</v>
      </c>
      <c r="N7" s="10"/>
      <c r="O7" s="10"/>
      <c r="P7" s="3">
        <v>229</v>
      </c>
      <c r="Q7" s="3">
        <v>231</v>
      </c>
      <c r="R7" s="3">
        <v>236</v>
      </c>
      <c r="S7" s="1">
        <v>196</v>
      </c>
      <c r="T7" s="1">
        <v>199</v>
      </c>
      <c r="U7" s="1">
        <v>197</v>
      </c>
      <c r="V7" s="11" cm="1">
        <f t="array" ref="V7">AVERAGE((P7:R7)-30.75)</f>
        <v>201.25</v>
      </c>
      <c r="W7" s="10">
        <f>V7/10000</f>
        <v>2.0125000000000001E-2</v>
      </c>
      <c r="X7" s="11">
        <f>AVERAGE(S7:U7)</f>
        <v>197.33333333333334</v>
      </c>
      <c r="Y7" s="10">
        <f>X7-30.75</f>
        <v>166.58333333333334</v>
      </c>
      <c r="Z7" s="9">
        <f>Y7/10000</f>
        <v>1.6658333333333334E-2</v>
      </c>
      <c r="AA7" s="9">
        <f>11*25*W7</f>
        <v>5.5343749999999998</v>
      </c>
      <c r="AB7" s="9">
        <f>11*25*Z7</f>
        <v>4.5810416666666667</v>
      </c>
      <c r="AC7" s="10">
        <f>K7/AA7</f>
        <v>1.5756070016939583</v>
      </c>
      <c r="AD7" s="10">
        <f>K7/AB7</f>
        <v>1.9034972031470283</v>
      </c>
      <c r="AE7" s="3"/>
      <c r="AF7" s="3">
        <v>7.67</v>
      </c>
      <c r="AG7" s="3"/>
      <c r="AH7" s="10">
        <f>AVERAGE(AE7:AG7)</f>
        <v>7.67</v>
      </c>
      <c r="AI7" s="3">
        <v>13.15</v>
      </c>
      <c r="AJ7" s="13"/>
      <c r="AK7" s="12"/>
      <c r="AL7" s="26"/>
      <c r="AM7" s="14"/>
    </row>
    <row r="8" spans="1:39" ht="15.6" x14ac:dyDescent="0.3">
      <c r="A8" s="34" t="s">
        <v>61</v>
      </c>
      <c r="B8" s="42">
        <v>45980</v>
      </c>
      <c r="C8" s="34">
        <v>300</v>
      </c>
      <c r="D8" s="34" t="s">
        <v>31</v>
      </c>
      <c r="E8" s="34" t="s">
        <v>33</v>
      </c>
      <c r="F8" s="34" t="s">
        <v>40</v>
      </c>
      <c r="G8" s="37" t="s">
        <v>41</v>
      </c>
      <c r="H8" s="28">
        <v>0.86</v>
      </c>
      <c r="I8" s="27"/>
      <c r="J8" s="29"/>
      <c r="K8" s="29"/>
      <c r="L8" s="30">
        <f>SUM(K3:K7)*H8</f>
        <v>39.138599999999997</v>
      </c>
      <c r="M8" s="29">
        <f>MIN(M3:M7)</f>
        <v>13.603636363636367</v>
      </c>
      <c r="N8" s="36">
        <v>300</v>
      </c>
      <c r="O8" s="29">
        <f>L8*N8/1000</f>
        <v>11.741579999999997</v>
      </c>
      <c r="P8" s="58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60"/>
      <c r="AJ8" s="31" t="s">
        <v>42</v>
      </c>
      <c r="AK8" s="32">
        <v>1.5757000000000001</v>
      </c>
      <c r="AL8" s="33" t="s">
        <v>43</v>
      </c>
      <c r="AM8" s="14"/>
    </row>
    <row r="9" spans="1:39" ht="15.75" customHeight="1" x14ac:dyDescent="0.3">
      <c r="A9" s="15" t="s">
        <v>30</v>
      </c>
      <c r="B9" s="41">
        <v>45980</v>
      </c>
      <c r="C9" s="1">
        <v>300</v>
      </c>
      <c r="D9" s="7" t="s">
        <v>31</v>
      </c>
      <c r="E9" s="17" t="s">
        <v>34</v>
      </c>
      <c r="F9" s="18"/>
      <c r="G9" s="16" t="s">
        <v>44</v>
      </c>
      <c r="H9" s="16">
        <v>0.86</v>
      </c>
      <c r="I9" s="1" t="s">
        <v>32</v>
      </c>
      <c r="J9" s="19">
        <v>15.66</v>
      </c>
      <c r="K9" s="21">
        <f>J9-6.51</f>
        <v>9.15</v>
      </c>
      <c r="L9" s="20">
        <f>K9*H9</f>
        <v>7.8689999999999998</v>
      </c>
      <c r="M9" s="21">
        <f>L9/(275*2)*1000</f>
        <v>14.307272727272727</v>
      </c>
      <c r="N9" s="21"/>
      <c r="O9" s="21"/>
      <c r="P9" s="19">
        <v>242</v>
      </c>
      <c r="Q9" s="19">
        <v>249</v>
      </c>
      <c r="R9" s="19">
        <v>231</v>
      </c>
      <c r="S9" s="16">
        <v>198</v>
      </c>
      <c r="T9" s="16">
        <v>206</v>
      </c>
      <c r="U9" s="16">
        <v>195</v>
      </c>
      <c r="V9" s="22" cm="1">
        <f t="array" ref="V9">AVERAGE((P9:R9)-30.75)</f>
        <v>209.91666666666666</v>
      </c>
      <c r="W9" s="21">
        <f>V9/10000</f>
        <v>2.0991666666666665E-2</v>
      </c>
      <c r="X9" s="22">
        <f>AVERAGE(S9:U9)</f>
        <v>199.66666666666666</v>
      </c>
      <c r="Y9" s="21">
        <f>X9-30.75</f>
        <v>168.91666666666666</v>
      </c>
      <c r="Z9" s="20">
        <f>Y9/10000</f>
        <v>1.6891666666666666E-2</v>
      </c>
      <c r="AA9" s="20">
        <f>11*25*W9</f>
        <v>5.7727083333333331</v>
      </c>
      <c r="AB9" s="20">
        <f>11*25*Z9</f>
        <v>4.6452083333333327</v>
      </c>
      <c r="AC9" s="21">
        <f>K9/AA9</f>
        <v>1.5850445703562022</v>
      </c>
      <c r="AD9" s="21">
        <f>K9/AB9</f>
        <v>1.9697717181683638</v>
      </c>
      <c r="AE9" s="19"/>
      <c r="AF9" s="19">
        <v>8.16</v>
      </c>
      <c r="AG9" s="19"/>
      <c r="AH9" s="21">
        <f>AVERAGE(AE9:AG9)</f>
        <v>8.16</v>
      </c>
      <c r="AI9" s="19">
        <v>13.3</v>
      </c>
      <c r="AJ9" s="23"/>
      <c r="AK9" s="24"/>
      <c r="AL9" s="25"/>
      <c r="AM9" s="14"/>
    </row>
    <row r="10" spans="1:39" ht="15.6" x14ac:dyDescent="0.3">
      <c r="A10" s="6" t="s">
        <v>30</v>
      </c>
      <c r="B10" s="41">
        <v>45980</v>
      </c>
      <c r="C10" s="1">
        <v>300</v>
      </c>
      <c r="D10" s="7" t="s">
        <v>31</v>
      </c>
      <c r="E10" s="17" t="s">
        <v>34</v>
      </c>
      <c r="F10" s="8"/>
      <c r="G10" s="16" t="s">
        <v>45</v>
      </c>
      <c r="H10" s="1">
        <v>0.86</v>
      </c>
      <c r="I10" s="1" t="s">
        <v>32</v>
      </c>
      <c r="J10" s="3">
        <v>15.29</v>
      </c>
      <c r="K10" s="10">
        <f>J10-6.51</f>
        <v>8.7799999999999994</v>
      </c>
      <c r="L10" s="9">
        <f>K10*H10</f>
        <v>7.5507999999999997</v>
      </c>
      <c r="M10" s="10">
        <f>L10/(275*2)*1000</f>
        <v>13.728727272727273</v>
      </c>
      <c r="N10" s="10"/>
      <c r="O10" s="10"/>
      <c r="P10" s="3">
        <v>236</v>
      </c>
      <c r="Q10" s="3">
        <v>235</v>
      </c>
      <c r="R10" s="3">
        <v>232</v>
      </c>
      <c r="S10" s="1">
        <v>191</v>
      </c>
      <c r="T10" s="1">
        <v>198</v>
      </c>
      <c r="U10" s="1">
        <v>197</v>
      </c>
      <c r="V10" s="11" cm="1">
        <f t="array" ref="V10">AVERAGE((P10:R10)-30.75)</f>
        <v>203.58333333333334</v>
      </c>
      <c r="W10" s="10">
        <f>V10/10000</f>
        <v>2.0358333333333336E-2</v>
      </c>
      <c r="X10" s="11">
        <f>AVERAGE(S10:U10)</f>
        <v>195.33333333333334</v>
      </c>
      <c r="Y10" s="10">
        <f>X10-30.75</f>
        <v>164.58333333333334</v>
      </c>
      <c r="Z10" s="9">
        <f>Y10/10000</f>
        <v>1.6458333333333335E-2</v>
      </c>
      <c r="AA10" s="9">
        <f>11*25*W10</f>
        <v>5.5985416666666676</v>
      </c>
      <c r="AB10" s="9">
        <f>11*25*Z10</f>
        <v>4.526041666666667</v>
      </c>
      <c r="AC10" s="10">
        <f>K10/AA10</f>
        <v>1.5682655453429089</v>
      </c>
      <c r="AD10" s="10">
        <f>K10/AB10</f>
        <v>1.9398849252013806</v>
      </c>
      <c r="AE10" s="3"/>
      <c r="AF10" s="3">
        <v>9.41</v>
      </c>
      <c r="AG10" s="3"/>
      <c r="AH10" s="10">
        <f>AVERAGE(AE10:AG10)</f>
        <v>9.41</v>
      </c>
      <c r="AI10" s="3">
        <v>13.99</v>
      </c>
      <c r="AJ10" s="13"/>
      <c r="AK10" s="12"/>
      <c r="AL10" s="26"/>
      <c r="AM10" s="14"/>
    </row>
    <row r="11" spans="1:39" ht="15.6" x14ac:dyDescent="0.3">
      <c r="A11" s="6" t="s">
        <v>30</v>
      </c>
      <c r="B11" s="41">
        <v>45980</v>
      </c>
      <c r="C11" s="1">
        <v>300</v>
      </c>
      <c r="D11" s="7" t="s">
        <v>31</v>
      </c>
      <c r="E11" s="17" t="s">
        <v>34</v>
      </c>
      <c r="F11" s="8"/>
      <c r="G11" s="16" t="s">
        <v>46</v>
      </c>
      <c r="H11" s="1">
        <v>0.86</v>
      </c>
      <c r="I11" s="1" t="s">
        <v>32</v>
      </c>
      <c r="J11" s="3">
        <v>14.75</v>
      </c>
      <c r="K11" s="10">
        <f>J11-6.51</f>
        <v>8.24</v>
      </c>
      <c r="L11" s="9">
        <f>K11*H11</f>
        <v>7.0864000000000003</v>
      </c>
      <c r="M11" s="10">
        <f>L11/(275*2)*1000</f>
        <v>12.884363636363636</v>
      </c>
      <c r="N11" s="10"/>
      <c r="O11" s="10"/>
      <c r="P11" s="3">
        <v>221</v>
      </c>
      <c r="Q11" s="3">
        <v>222</v>
      </c>
      <c r="R11" s="3">
        <v>222</v>
      </c>
      <c r="S11" s="1">
        <v>194</v>
      </c>
      <c r="T11" s="1">
        <v>195</v>
      </c>
      <c r="U11" s="1">
        <v>191</v>
      </c>
      <c r="V11" s="11" cm="1">
        <f t="array" ref="V11">AVERAGE((P11:R11)-30.75)</f>
        <v>190.91666666666666</v>
      </c>
      <c r="W11" s="10">
        <f>V11/10000</f>
        <v>1.9091666666666667E-2</v>
      </c>
      <c r="X11" s="11">
        <f>AVERAGE(S11:U11)</f>
        <v>193.33333333333334</v>
      </c>
      <c r="Y11" s="10">
        <f>X11-30.75</f>
        <v>162.58333333333334</v>
      </c>
      <c r="Z11" s="9">
        <f>Y11/10000</f>
        <v>1.6258333333333333E-2</v>
      </c>
      <c r="AA11" s="9">
        <f>11*25*W11</f>
        <v>5.2502083333333331</v>
      </c>
      <c r="AB11" s="9">
        <f>11*25*Z11</f>
        <v>4.4710416666666664</v>
      </c>
      <c r="AC11" s="10">
        <f>K11/AA11</f>
        <v>1.5694615293043928</v>
      </c>
      <c r="AD11" s="10">
        <f>K11/AB11</f>
        <v>1.8429709705978288</v>
      </c>
      <c r="AE11" s="3"/>
      <c r="AF11" s="3">
        <v>4</v>
      </c>
      <c r="AG11" s="3"/>
      <c r="AH11" s="10">
        <f>AVERAGE(AE11:AG11)</f>
        <v>4</v>
      </c>
      <c r="AI11" s="3">
        <v>10.25</v>
      </c>
      <c r="AJ11" s="13"/>
      <c r="AK11" s="12"/>
      <c r="AL11" s="26"/>
      <c r="AM11" s="14"/>
    </row>
    <row r="12" spans="1:39" ht="15.6" x14ac:dyDescent="0.3">
      <c r="A12" s="15" t="s">
        <v>30</v>
      </c>
      <c r="B12" s="41">
        <v>45980</v>
      </c>
      <c r="C12" s="1">
        <v>300</v>
      </c>
      <c r="D12" s="7" t="s">
        <v>31</v>
      </c>
      <c r="E12" s="17" t="s">
        <v>34</v>
      </c>
      <c r="F12" s="8"/>
      <c r="G12" s="16" t="s">
        <v>47</v>
      </c>
      <c r="H12" s="1">
        <v>0.86</v>
      </c>
      <c r="I12" s="1" t="s">
        <v>32</v>
      </c>
      <c r="J12" s="3">
        <v>14.66</v>
      </c>
      <c r="K12" s="10">
        <f>J12-6.51</f>
        <v>8.15</v>
      </c>
      <c r="L12" s="9">
        <f>K12*H12</f>
        <v>7.0090000000000003</v>
      </c>
      <c r="M12" s="10">
        <f>L12/(275*2)*1000</f>
        <v>12.743636363636364</v>
      </c>
      <c r="N12" s="10"/>
      <c r="O12" s="10"/>
      <c r="P12" s="3">
        <v>238</v>
      </c>
      <c r="Q12" s="3">
        <v>223</v>
      </c>
      <c r="R12" s="3">
        <v>223</v>
      </c>
      <c r="S12" s="1">
        <v>192</v>
      </c>
      <c r="T12" s="1">
        <v>194</v>
      </c>
      <c r="U12" s="1">
        <v>192</v>
      </c>
      <c r="V12" s="11" cm="1">
        <f t="array" ref="V12">AVERAGE((P12:R12)-30.75)</f>
        <v>197.25</v>
      </c>
      <c r="W12" s="10">
        <f>V12/10000</f>
        <v>1.9724999999999999E-2</v>
      </c>
      <c r="X12" s="11">
        <f>AVERAGE(S12:U12)</f>
        <v>192.66666666666666</v>
      </c>
      <c r="Y12" s="10">
        <f>X12-30.75</f>
        <v>161.91666666666666</v>
      </c>
      <c r="Z12" s="9">
        <f>Y12/10000</f>
        <v>1.6191666666666667E-2</v>
      </c>
      <c r="AA12" s="9">
        <f>11*25*W12</f>
        <v>5.4243749999999995</v>
      </c>
      <c r="AB12" s="9">
        <f>11*25*Z12</f>
        <v>4.4527083333333337</v>
      </c>
      <c r="AC12" s="10">
        <f>K12/AA12</f>
        <v>1.502477243922111</v>
      </c>
      <c r="AD12" s="10">
        <f>K12/AB12</f>
        <v>1.8303466991063491</v>
      </c>
      <c r="AE12" s="3"/>
      <c r="AF12" s="3">
        <v>4.3</v>
      </c>
      <c r="AG12" s="3"/>
      <c r="AH12" s="10">
        <f>AVERAGE(AE12:AG12)</f>
        <v>4.3</v>
      </c>
      <c r="AI12" s="3">
        <v>8.5</v>
      </c>
      <c r="AJ12" s="13"/>
      <c r="AK12" s="12"/>
      <c r="AL12" s="26"/>
      <c r="AM12" s="14"/>
    </row>
    <row r="13" spans="1:39" ht="15.75" customHeight="1" x14ac:dyDescent="0.3">
      <c r="A13" s="6" t="s">
        <v>30</v>
      </c>
      <c r="B13" s="41">
        <v>45980</v>
      </c>
      <c r="C13" s="1">
        <v>300</v>
      </c>
      <c r="D13" s="7" t="s">
        <v>31</v>
      </c>
      <c r="E13" s="17" t="s">
        <v>34</v>
      </c>
      <c r="F13" s="8"/>
      <c r="G13" s="16" t="s">
        <v>48</v>
      </c>
      <c r="H13" s="1">
        <v>0.86</v>
      </c>
      <c r="I13" s="1" t="s">
        <v>32</v>
      </c>
      <c r="J13" s="3">
        <v>14.98</v>
      </c>
      <c r="K13" s="10">
        <f>J13-6.51</f>
        <v>8.4700000000000006</v>
      </c>
      <c r="L13" s="9">
        <f>K13*H13</f>
        <v>7.2842000000000002</v>
      </c>
      <c r="M13" s="10">
        <f>L13/(275*2)*1000</f>
        <v>13.244</v>
      </c>
      <c r="N13" s="10"/>
      <c r="O13" s="10"/>
      <c r="P13" s="3">
        <v>225</v>
      </c>
      <c r="Q13" s="3">
        <v>222</v>
      </c>
      <c r="R13" s="3">
        <v>228</v>
      </c>
      <c r="S13" s="1">
        <v>193</v>
      </c>
      <c r="T13" s="1">
        <v>200</v>
      </c>
      <c r="U13" s="1">
        <v>190</v>
      </c>
      <c r="V13" s="11" cm="1">
        <f t="array" ref="V13">AVERAGE((P13:R13)-30.75)</f>
        <v>194.25</v>
      </c>
      <c r="W13" s="10">
        <f>V13/10000</f>
        <v>1.9425000000000001E-2</v>
      </c>
      <c r="X13" s="11">
        <f>AVERAGE(S13:U13)</f>
        <v>194.33333333333334</v>
      </c>
      <c r="Y13" s="10">
        <f>X13-30.75</f>
        <v>163.58333333333334</v>
      </c>
      <c r="Z13" s="9">
        <f>Y13/10000</f>
        <v>1.6358333333333336E-2</v>
      </c>
      <c r="AA13" s="9">
        <f>11*25*W13</f>
        <v>5.3418749999999999</v>
      </c>
      <c r="AB13" s="9">
        <f>11*25*Z13</f>
        <v>4.4985416666666671</v>
      </c>
      <c r="AC13" s="10">
        <f>K13/AA13</f>
        <v>1.5855855855855858</v>
      </c>
      <c r="AD13" s="10">
        <f>K13/AB13</f>
        <v>1.8828323993886908</v>
      </c>
      <c r="AE13" s="3"/>
      <c r="AF13" s="3">
        <v>7.97</v>
      </c>
      <c r="AG13" s="3"/>
      <c r="AH13" s="10">
        <f>AVERAGE(AE13:AG13)</f>
        <v>7.97</v>
      </c>
      <c r="AI13" s="3">
        <v>13.91</v>
      </c>
      <c r="AJ13" s="13"/>
      <c r="AK13" s="12"/>
      <c r="AL13" s="26"/>
      <c r="AM13" s="14"/>
    </row>
    <row r="14" spans="1:39" ht="15.6" x14ac:dyDescent="0.3">
      <c r="A14" s="34" t="s">
        <v>61</v>
      </c>
      <c r="B14" s="42">
        <v>45980</v>
      </c>
      <c r="C14" s="34">
        <v>300</v>
      </c>
      <c r="D14" s="34" t="s">
        <v>31</v>
      </c>
      <c r="E14" s="34" t="s">
        <v>33</v>
      </c>
      <c r="F14" s="34" t="s">
        <v>49</v>
      </c>
      <c r="G14" s="37" t="s">
        <v>50</v>
      </c>
      <c r="H14" s="28">
        <v>0.86</v>
      </c>
      <c r="I14" s="27"/>
      <c r="J14" s="29"/>
      <c r="K14" s="29"/>
      <c r="L14" s="30">
        <f>SUM(K9:K13)*H14</f>
        <v>36.799399999999999</v>
      </c>
      <c r="M14" s="29">
        <f>MIN(M9:M13)</f>
        <v>12.743636363636364</v>
      </c>
      <c r="N14" s="36">
        <v>200</v>
      </c>
      <c r="O14" s="29">
        <f>L14*N14/1000</f>
        <v>7.3598800000000004</v>
      </c>
      <c r="P14" s="58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60"/>
      <c r="AJ14" s="35" t="s">
        <v>51</v>
      </c>
      <c r="AK14" s="32">
        <v>1.5767</v>
      </c>
      <c r="AL14" s="33" t="s">
        <v>43</v>
      </c>
      <c r="AM14" s="14"/>
    </row>
    <row r="15" spans="1:39" ht="15.6" x14ac:dyDescent="0.3">
      <c r="A15" s="6" t="s">
        <v>30</v>
      </c>
      <c r="B15" s="41">
        <v>45980</v>
      </c>
      <c r="C15" s="1">
        <v>300</v>
      </c>
      <c r="D15" s="7" t="s">
        <v>31</v>
      </c>
      <c r="E15" s="17" t="s">
        <v>34</v>
      </c>
      <c r="F15" s="18"/>
      <c r="G15" s="16" t="s">
        <v>52</v>
      </c>
      <c r="H15" s="16">
        <v>0.86</v>
      </c>
      <c r="I15" s="1" t="s">
        <v>32</v>
      </c>
      <c r="J15" s="19">
        <v>15.37</v>
      </c>
      <c r="K15" s="21">
        <f>J15-6.51</f>
        <v>8.86</v>
      </c>
      <c r="L15" s="20">
        <f>K15*H15</f>
        <v>7.6195999999999993</v>
      </c>
      <c r="M15" s="21">
        <f>L15/(275*2)*1000</f>
        <v>13.85381818181818</v>
      </c>
      <c r="N15" s="21"/>
      <c r="O15" s="21"/>
      <c r="P15" s="19">
        <v>235</v>
      </c>
      <c r="Q15" s="19">
        <v>242</v>
      </c>
      <c r="R15" s="19">
        <v>230</v>
      </c>
      <c r="S15" s="16">
        <v>199</v>
      </c>
      <c r="T15" s="16">
        <v>204</v>
      </c>
      <c r="U15" s="16">
        <v>192</v>
      </c>
      <c r="V15" s="22" cm="1">
        <f t="array" ref="V15">AVERAGE((P15:R15)-30.75)</f>
        <v>204.91666666666666</v>
      </c>
      <c r="W15" s="21">
        <f>V15/10000</f>
        <v>2.0491666666666665E-2</v>
      </c>
      <c r="X15" s="22">
        <f>AVERAGE(S15:U15)</f>
        <v>198.33333333333334</v>
      </c>
      <c r="Y15" s="21">
        <f>X15-30.75</f>
        <v>167.58333333333334</v>
      </c>
      <c r="Z15" s="20">
        <f>Y15/10000</f>
        <v>1.6758333333333333E-2</v>
      </c>
      <c r="AA15" s="20">
        <f>11*25*W15</f>
        <v>5.6352083333333329</v>
      </c>
      <c r="AB15" s="20">
        <f>11*25*Z15</f>
        <v>4.6085416666666665</v>
      </c>
      <c r="AC15" s="21">
        <f>K15/AA15</f>
        <v>1.5722577544456358</v>
      </c>
      <c r="AD15" s="21">
        <f>K15/AB15</f>
        <v>1.9225170652321324</v>
      </c>
      <c r="AE15" s="19"/>
      <c r="AF15" s="19">
        <v>4.33</v>
      </c>
      <c r="AG15" s="19"/>
      <c r="AH15" s="21">
        <f>AVERAGE(AE15:AG15)</f>
        <v>4.33</v>
      </c>
      <c r="AI15" s="19">
        <v>8.5299999999999994</v>
      </c>
      <c r="AJ15" s="23"/>
      <c r="AK15" s="24"/>
      <c r="AL15" s="25"/>
      <c r="AM15" s="14"/>
    </row>
    <row r="16" spans="1:39" ht="15.6" x14ac:dyDescent="0.3">
      <c r="A16" s="6" t="s">
        <v>30</v>
      </c>
      <c r="B16" s="41">
        <v>45980</v>
      </c>
      <c r="C16" s="1">
        <v>300</v>
      </c>
      <c r="D16" s="7" t="s">
        <v>31</v>
      </c>
      <c r="E16" s="17" t="s">
        <v>34</v>
      </c>
      <c r="F16" s="8"/>
      <c r="G16" s="16" t="s">
        <v>53</v>
      </c>
      <c r="H16" s="1">
        <v>0.86</v>
      </c>
      <c r="I16" s="1" t="s">
        <v>32</v>
      </c>
      <c r="J16" s="3">
        <v>15.77</v>
      </c>
      <c r="K16" s="10">
        <f>J16-6.51</f>
        <v>9.26</v>
      </c>
      <c r="L16" s="9">
        <f>K16*H16</f>
        <v>7.9635999999999996</v>
      </c>
      <c r="M16" s="10">
        <f>L16/(275*2)*1000</f>
        <v>14.479272727272726</v>
      </c>
      <c r="N16" s="10"/>
      <c r="O16" s="10"/>
      <c r="P16" s="3">
        <v>236</v>
      </c>
      <c r="Q16" s="3">
        <v>241</v>
      </c>
      <c r="R16" s="3">
        <v>242</v>
      </c>
      <c r="S16" s="1">
        <v>194</v>
      </c>
      <c r="T16" s="1">
        <v>205</v>
      </c>
      <c r="U16" s="1">
        <v>197</v>
      </c>
      <c r="V16" s="11" cm="1">
        <f t="array" ref="V16">AVERAGE((P16:R16)-30.75)</f>
        <v>208.91666666666666</v>
      </c>
      <c r="W16" s="10">
        <f>V16/10000</f>
        <v>2.0891666666666666E-2</v>
      </c>
      <c r="X16" s="11">
        <f>AVERAGE(S16:U16)</f>
        <v>198.66666666666666</v>
      </c>
      <c r="Y16" s="10">
        <f>X16-30.75</f>
        <v>167.91666666666666</v>
      </c>
      <c r="Z16" s="9">
        <f>Y16/10000</f>
        <v>1.6791666666666667E-2</v>
      </c>
      <c r="AA16" s="9">
        <f>11*25*W16</f>
        <v>5.7452083333333333</v>
      </c>
      <c r="AB16" s="9">
        <f>11*25*Z16</f>
        <v>4.6177083333333329</v>
      </c>
      <c r="AC16" s="10">
        <f>K16/AA16</f>
        <v>1.6117779308844327</v>
      </c>
      <c r="AD16" s="10">
        <f>K16/AB16</f>
        <v>2.0053237085495152</v>
      </c>
      <c r="AE16" s="3"/>
      <c r="AF16" s="3">
        <v>7.06</v>
      </c>
      <c r="AG16" s="3"/>
      <c r="AH16" s="10">
        <f>AVERAGE(AE16:AG16)</f>
        <v>7.06</v>
      </c>
      <c r="AI16" s="3">
        <v>12.23</v>
      </c>
      <c r="AJ16" s="13"/>
      <c r="AK16" s="12"/>
      <c r="AL16" s="26"/>
      <c r="AM16" s="14"/>
    </row>
    <row r="17" spans="1:39" ht="15.75" customHeight="1" x14ac:dyDescent="0.3">
      <c r="A17" s="6" t="s">
        <v>30</v>
      </c>
      <c r="B17" s="41">
        <v>45980</v>
      </c>
      <c r="C17" s="1">
        <v>300</v>
      </c>
      <c r="D17" s="7" t="s">
        <v>31</v>
      </c>
      <c r="E17" s="17" t="s">
        <v>34</v>
      </c>
      <c r="F17" s="8"/>
      <c r="G17" s="16" t="s">
        <v>54</v>
      </c>
      <c r="H17" s="1">
        <v>0.86</v>
      </c>
      <c r="I17" s="1" t="s">
        <v>32</v>
      </c>
      <c r="J17" s="3">
        <v>14.77</v>
      </c>
      <c r="K17" s="10">
        <f>J17-6.51</f>
        <v>8.26</v>
      </c>
      <c r="L17" s="9">
        <f>K17*H17</f>
        <v>7.1036000000000001</v>
      </c>
      <c r="M17" s="10">
        <f>L17/(275*2)*1000</f>
        <v>12.915636363636363</v>
      </c>
      <c r="N17" s="10"/>
      <c r="O17" s="10"/>
      <c r="P17" s="3">
        <v>211</v>
      </c>
      <c r="Q17" s="3">
        <v>222</v>
      </c>
      <c r="R17" s="3">
        <v>218</v>
      </c>
      <c r="S17" s="1">
        <v>184</v>
      </c>
      <c r="T17" s="1">
        <v>194</v>
      </c>
      <c r="U17" s="1">
        <v>188</v>
      </c>
      <c r="V17" s="11" cm="1">
        <f t="array" ref="V17">AVERAGE((P17:R17)-30.75)</f>
        <v>186.25</v>
      </c>
      <c r="W17" s="10">
        <f>V17/10000</f>
        <v>1.8624999999999999E-2</v>
      </c>
      <c r="X17" s="11">
        <f>AVERAGE(S17:U17)</f>
        <v>188.66666666666666</v>
      </c>
      <c r="Y17" s="10">
        <f>X17-30.75</f>
        <v>157.91666666666666</v>
      </c>
      <c r="Z17" s="9">
        <f>Y17/10000</f>
        <v>1.5791666666666666E-2</v>
      </c>
      <c r="AA17" s="9">
        <f>11*25*W17</f>
        <v>5.1218750000000002</v>
      </c>
      <c r="AB17" s="9">
        <f>11*25*Z17</f>
        <v>4.3427083333333334</v>
      </c>
      <c r="AC17" s="10">
        <f>K17/AA17</f>
        <v>1.6126906650396582</v>
      </c>
      <c r="AD17" s="10">
        <f>K17/AB17</f>
        <v>1.9020388582393859</v>
      </c>
      <c r="AE17" s="3"/>
      <c r="AF17" s="3">
        <v>7.67</v>
      </c>
      <c r="AG17" s="3"/>
      <c r="AH17" s="10">
        <f>AVERAGE(AE17:AG17)</f>
        <v>7.67</v>
      </c>
      <c r="AI17" s="3">
        <v>8.8800000000000008</v>
      </c>
      <c r="AJ17" s="13"/>
      <c r="AK17" s="12"/>
      <c r="AL17" s="26"/>
      <c r="AM17" s="14"/>
    </row>
    <row r="18" spans="1:39" ht="15.6" x14ac:dyDescent="0.3">
      <c r="A18" s="15" t="s">
        <v>30</v>
      </c>
      <c r="B18" s="41">
        <v>45980</v>
      </c>
      <c r="C18" s="1">
        <v>300</v>
      </c>
      <c r="D18" s="7" t="s">
        <v>31</v>
      </c>
      <c r="E18" s="17" t="s">
        <v>34</v>
      </c>
      <c r="F18" s="8"/>
      <c r="G18" s="16" t="s">
        <v>55</v>
      </c>
      <c r="H18" s="1">
        <v>0.86</v>
      </c>
      <c r="I18" s="1" t="s">
        <v>32</v>
      </c>
      <c r="J18" s="3">
        <v>15.89</v>
      </c>
      <c r="K18" s="10">
        <f>J18-6.51</f>
        <v>9.3800000000000008</v>
      </c>
      <c r="L18" s="9">
        <f>K18*H18</f>
        <v>8.0668000000000006</v>
      </c>
      <c r="M18" s="10">
        <f>L18/(275*2)*1000</f>
        <v>14.666909090909092</v>
      </c>
      <c r="N18" s="10"/>
      <c r="O18" s="10"/>
      <c r="P18" s="3">
        <v>253</v>
      </c>
      <c r="Q18" s="3">
        <v>246</v>
      </c>
      <c r="R18" s="3">
        <v>243</v>
      </c>
      <c r="S18" s="1">
        <v>202</v>
      </c>
      <c r="T18" s="1">
        <v>209</v>
      </c>
      <c r="U18" s="1">
        <v>199</v>
      </c>
      <c r="V18" s="11" cm="1">
        <f t="array" ref="V18">AVERAGE((P18:R18)-30.75)</f>
        <v>216.58333333333334</v>
      </c>
      <c r="W18" s="10">
        <f>V18/10000</f>
        <v>2.1658333333333335E-2</v>
      </c>
      <c r="X18" s="11">
        <f>AVERAGE(S18:U18)</f>
        <v>203.33333333333334</v>
      </c>
      <c r="Y18" s="10">
        <f>X18-30.75</f>
        <v>172.58333333333334</v>
      </c>
      <c r="Z18" s="9">
        <f>Y18/10000</f>
        <v>1.7258333333333334E-2</v>
      </c>
      <c r="AA18" s="9">
        <f>11*25*W18</f>
        <v>5.9560416666666676</v>
      </c>
      <c r="AB18" s="9">
        <f>11*25*Z18</f>
        <v>4.7460416666666667</v>
      </c>
      <c r="AC18" s="10">
        <f>K18/AA18</f>
        <v>1.5748714540557556</v>
      </c>
      <c r="AD18" s="10">
        <f>K18/AB18</f>
        <v>1.9763838286291209</v>
      </c>
      <c r="AE18" s="3"/>
      <c r="AF18" s="3">
        <v>7.08</v>
      </c>
      <c r="AG18" s="3"/>
      <c r="AH18" s="10">
        <f>AVERAGE(AE18:AG18)</f>
        <v>7.08</v>
      </c>
      <c r="AI18" s="3">
        <v>10.75</v>
      </c>
      <c r="AJ18" s="13"/>
      <c r="AK18" s="12"/>
      <c r="AL18" s="26"/>
      <c r="AM18" s="14"/>
    </row>
    <row r="19" spans="1:39" ht="15.6" x14ac:dyDescent="0.3">
      <c r="A19" s="6" t="s">
        <v>30</v>
      </c>
      <c r="B19" s="41">
        <v>45980</v>
      </c>
      <c r="C19" s="1">
        <v>300</v>
      </c>
      <c r="D19" s="7" t="s">
        <v>31</v>
      </c>
      <c r="E19" s="17" t="s">
        <v>34</v>
      </c>
      <c r="F19" s="8"/>
      <c r="G19" s="16" t="s">
        <v>56</v>
      </c>
      <c r="H19" s="1">
        <v>0.86</v>
      </c>
      <c r="I19" s="1" t="s">
        <v>32</v>
      </c>
      <c r="J19" s="3">
        <v>15.59</v>
      </c>
      <c r="K19" s="10">
        <f>J19-6.51</f>
        <v>9.08</v>
      </c>
      <c r="L19" s="9">
        <f>K19*H19</f>
        <v>7.8087999999999997</v>
      </c>
      <c r="M19" s="10">
        <f>L19/(275*2)*1000</f>
        <v>14.197818181818182</v>
      </c>
      <c r="N19" s="10"/>
      <c r="O19" s="10"/>
      <c r="P19" s="3">
        <v>237</v>
      </c>
      <c r="Q19" s="3">
        <v>242</v>
      </c>
      <c r="R19" s="3">
        <v>250</v>
      </c>
      <c r="S19" s="1">
        <v>195</v>
      </c>
      <c r="T19" s="1">
        <v>201</v>
      </c>
      <c r="U19" s="1">
        <v>198</v>
      </c>
      <c r="V19" s="11" cm="1">
        <f t="array" ref="V19">AVERAGE((P19:R19)-30.75)</f>
        <v>212.25</v>
      </c>
      <c r="W19" s="10">
        <f>V19/10000</f>
        <v>2.1225000000000001E-2</v>
      </c>
      <c r="X19" s="11">
        <f>AVERAGE(S19:U19)</f>
        <v>198</v>
      </c>
      <c r="Y19" s="10">
        <f>X19-30.75</f>
        <v>167.25</v>
      </c>
      <c r="Z19" s="9">
        <f>Y19/10000</f>
        <v>1.6725E-2</v>
      </c>
      <c r="AA19" s="9">
        <f>11*25*W19</f>
        <v>5.836875</v>
      </c>
      <c r="AB19" s="9">
        <f>11*25*Z19</f>
        <v>4.5993750000000002</v>
      </c>
      <c r="AC19" s="10">
        <f>K19/AA19</f>
        <v>1.5556269407859513</v>
      </c>
      <c r="AD19" s="10">
        <f>K19/AB19</f>
        <v>1.9741812746297049</v>
      </c>
      <c r="AE19" s="3"/>
      <c r="AF19" s="3">
        <v>4.0199999999999996</v>
      </c>
      <c r="AG19" s="3"/>
      <c r="AH19" s="10">
        <f>AVERAGE(AE19:AG19)</f>
        <v>4.0199999999999996</v>
      </c>
      <c r="AI19" s="3">
        <v>14.05</v>
      </c>
      <c r="AJ19" s="13"/>
      <c r="AK19" s="12"/>
      <c r="AL19" s="26"/>
      <c r="AM19" s="14"/>
    </row>
    <row r="20" spans="1:39" ht="22.2" customHeight="1" thickBot="1" x14ac:dyDescent="0.35">
      <c r="A20" s="34" t="s">
        <v>61</v>
      </c>
      <c r="B20" s="42">
        <v>45980</v>
      </c>
      <c r="C20" s="34">
        <v>300</v>
      </c>
      <c r="D20" s="34" t="s">
        <v>31</v>
      </c>
      <c r="E20" s="34" t="s">
        <v>33</v>
      </c>
      <c r="F20" s="34" t="s">
        <v>57</v>
      </c>
      <c r="G20" s="38" t="s">
        <v>58</v>
      </c>
      <c r="H20" s="28">
        <v>0.86</v>
      </c>
      <c r="I20" s="27"/>
      <c r="J20" s="29"/>
      <c r="K20" s="29"/>
      <c r="L20" s="30">
        <f>SUM(K15:K19)*H20</f>
        <v>38.562399999999997</v>
      </c>
      <c r="M20" s="29">
        <f>MIN(M15:M19)</f>
        <v>12.915636363636363</v>
      </c>
      <c r="N20" s="36">
        <v>75</v>
      </c>
      <c r="O20" s="29">
        <f>L20*N20/1000</f>
        <v>2.8921799999999998</v>
      </c>
      <c r="P20" s="58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60"/>
      <c r="AJ20" s="35" t="s">
        <v>59</v>
      </c>
      <c r="AK20" s="32">
        <v>1.5763</v>
      </c>
      <c r="AL20" s="33" t="s">
        <v>43</v>
      </c>
      <c r="AM20" s="14"/>
    </row>
    <row r="21" spans="1:39" ht="15.75" customHeight="1" thickBot="1" x14ac:dyDescent="0.35">
      <c r="A21" s="40" t="s">
        <v>30</v>
      </c>
      <c r="B21" s="44">
        <v>45986</v>
      </c>
      <c r="C21" s="5">
        <v>300</v>
      </c>
      <c r="D21" s="39" t="s">
        <v>31</v>
      </c>
      <c r="E21" s="17" t="s">
        <v>34</v>
      </c>
      <c r="F21" s="45"/>
      <c r="G21" s="5" t="s">
        <v>63</v>
      </c>
      <c r="H21" s="5">
        <v>0.86</v>
      </c>
      <c r="I21" s="5" t="s">
        <v>32</v>
      </c>
      <c r="J21" s="4">
        <v>15.48</v>
      </c>
      <c r="K21" s="46">
        <f>J21-6.51</f>
        <v>8.9700000000000006</v>
      </c>
      <c r="L21" s="47">
        <f>K21*H21</f>
        <v>7.7142000000000008</v>
      </c>
      <c r="M21" s="46">
        <f>L21/(275*2)*1000</f>
        <v>14.025818181818183</v>
      </c>
      <c r="N21" s="46"/>
      <c r="O21" s="46"/>
      <c r="P21" s="4">
        <v>225</v>
      </c>
      <c r="Q21" s="4">
        <v>232</v>
      </c>
      <c r="R21" s="4">
        <v>234</v>
      </c>
      <c r="S21" s="5">
        <v>196</v>
      </c>
      <c r="T21" s="5">
        <v>190</v>
      </c>
      <c r="U21" s="5">
        <v>190</v>
      </c>
      <c r="V21" s="48" cm="1">
        <f t="array" ref="V21">AVERAGE((P21:R21)-30.75)</f>
        <v>199.58333333333334</v>
      </c>
      <c r="W21" s="46">
        <f>V21/10000</f>
        <v>1.9958333333333335E-2</v>
      </c>
      <c r="X21" s="48">
        <f>AVERAGE(S21:U21)</f>
        <v>192</v>
      </c>
      <c r="Y21" s="46">
        <f>X21-30.75</f>
        <v>161.25</v>
      </c>
      <c r="Z21" s="47">
        <f>Y21/10000</f>
        <v>1.6125E-2</v>
      </c>
      <c r="AA21" s="47">
        <f>11*25*W21</f>
        <v>5.4885416666666673</v>
      </c>
      <c r="AB21" s="47">
        <f>11*25*Z21</f>
        <v>4.4343750000000002</v>
      </c>
      <c r="AC21" s="46">
        <f>K21/AA21</f>
        <v>1.6343139115581704</v>
      </c>
      <c r="AD21" s="46">
        <f>K21/AB21</f>
        <v>2.0228329809725158</v>
      </c>
      <c r="AE21" s="4"/>
      <c r="AF21" s="4">
        <v>4.4800000000000004</v>
      </c>
      <c r="AG21" s="4"/>
      <c r="AH21" s="46">
        <f>AVERAGE(AE21:AG21)</f>
        <v>4.4800000000000004</v>
      </c>
      <c r="AI21" s="4">
        <v>7.79</v>
      </c>
      <c r="AJ21" s="49"/>
      <c r="AK21" s="50"/>
      <c r="AL21" s="51"/>
      <c r="AM21" s="14"/>
    </row>
    <row r="22" spans="1:39" ht="16.2" thickBot="1" x14ac:dyDescent="0.35">
      <c r="A22" s="6" t="s">
        <v>30</v>
      </c>
      <c r="B22" s="41">
        <v>45986</v>
      </c>
      <c r="C22" s="1">
        <v>300</v>
      </c>
      <c r="D22" s="39" t="s">
        <v>31</v>
      </c>
      <c r="E22" s="17" t="s">
        <v>34</v>
      </c>
      <c r="F22" s="8"/>
      <c r="G22" s="16" t="s">
        <v>64</v>
      </c>
      <c r="H22" s="1">
        <v>0.86</v>
      </c>
      <c r="I22" s="1" t="s">
        <v>32</v>
      </c>
      <c r="J22" s="3">
        <v>15.31</v>
      </c>
      <c r="K22" s="10">
        <f>J22-6.51</f>
        <v>8.8000000000000007</v>
      </c>
      <c r="L22" s="9">
        <f>K22*H22</f>
        <v>7.5680000000000005</v>
      </c>
      <c r="M22" s="10">
        <f>L22/(275*2)*1000</f>
        <v>13.760000000000002</v>
      </c>
      <c r="N22" s="10"/>
      <c r="O22" s="10"/>
      <c r="P22" s="3">
        <v>231</v>
      </c>
      <c r="Q22" s="3">
        <v>239</v>
      </c>
      <c r="R22" s="3">
        <v>220</v>
      </c>
      <c r="S22" s="1">
        <v>191</v>
      </c>
      <c r="T22" s="1">
        <v>200</v>
      </c>
      <c r="U22" s="1">
        <v>185</v>
      </c>
      <c r="V22" s="11" cm="1">
        <f t="array" ref="V22">AVERAGE((P22:R22)-30.75)</f>
        <v>199.25</v>
      </c>
      <c r="W22" s="10">
        <f>V22/10000</f>
        <v>1.9924999999999998E-2</v>
      </c>
      <c r="X22" s="11">
        <f>AVERAGE(S22:U22)</f>
        <v>192</v>
      </c>
      <c r="Y22" s="10">
        <f>X22-30.75</f>
        <v>161.25</v>
      </c>
      <c r="Z22" s="9">
        <f>Y22/10000</f>
        <v>1.6125E-2</v>
      </c>
      <c r="AA22" s="9">
        <f>11*25*W22</f>
        <v>5.4793749999999992</v>
      </c>
      <c r="AB22" s="9">
        <f>11*25*Z22</f>
        <v>4.4343750000000002</v>
      </c>
      <c r="AC22" s="10">
        <f>K22/AA22</f>
        <v>1.6060225846925975</v>
      </c>
      <c r="AD22" s="10">
        <f>K22/AB22</f>
        <v>1.9844961240310077</v>
      </c>
      <c r="AE22" s="3"/>
      <c r="AF22" s="3">
        <v>3.99</v>
      </c>
      <c r="AG22" s="3"/>
      <c r="AH22" s="10">
        <f>AVERAGE(AE22:AG22)</f>
        <v>3.99</v>
      </c>
      <c r="AI22" s="3">
        <v>10.66</v>
      </c>
      <c r="AJ22" s="13"/>
      <c r="AK22" s="12"/>
      <c r="AL22" s="26"/>
      <c r="AM22" s="14"/>
    </row>
    <row r="23" spans="1:39" ht="16.2" thickBot="1" x14ac:dyDescent="0.35">
      <c r="A23" s="6" t="s">
        <v>30</v>
      </c>
      <c r="B23" s="41">
        <v>45986</v>
      </c>
      <c r="C23" s="1">
        <v>300</v>
      </c>
      <c r="D23" s="39" t="s">
        <v>31</v>
      </c>
      <c r="E23" s="17" t="s">
        <v>34</v>
      </c>
      <c r="F23" s="8"/>
      <c r="G23" s="16" t="s">
        <v>65</v>
      </c>
      <c r="H23" s="1">
        <v>0.86</v>
      </c>
      <c r="I23" s="1" t="s">
        <v>32</v>
      </c>
      <c r="J23" s="3">
        <v>15.21</v>
      </c>
      <c r="K23" s="10">
        <f>J23-6.51</f>
        <v>8.7000000000000011</v>
      </c>
      <c r="L23" s="9">
        <f>K23*H23</f>
        <v>7.4820000000000011</v>
      </c>
      <c r="M23" s="10">
        <f>L23/(275*2)*1000</f>
        <v>13.603636363636367</v>
      </c>
      <c r="N23" s="10"/>
      <c r="O23" s="10"/>
      <c r="P23" s="3">
        <v>225</v>
      </c>
      <c r="Q23" s="3">
        <v>246</v>
      </c>
      <c r="R23" s="3">
        <v>228</v>
      </c>
      <c r="S23" s="1">
        <v>192</v>
      </c>
      <c r="T23" s="1">
        <v>184</v>
      </c>
      <c r="U23" s="1">
        <v>186</v>
      </c>
      <c r="V23" s="11" cm="1">
        <f t="array" ref="V23">AVERAGE((P23:R23)-30.75)</f>
        <v>202.25</v>
      </c>
      <c r="W23" s="10">
        <f>V23/10000</f>
        <v>2.0225E-2</v>
      </c>
      <c r="X23" s="11">
        <f>AVERAGE(S23:U23)</f>
        <v>187.33333333333334</v>
      </c>
      <c r="Y23" s="10">
        <f>X23-30.75</f>
        <v>156.58333333333334</v>
      </c>
      <c r="Z23" s="9">
        <f>Y23/10000</f>
        <v>1.5658333333333333E-2</v>
      </c>
      <c r="AA23" s="9">
        <f>11*25*W23</f>
        <v>5.5618749999999997</v>
      </c>
      <c r="AB23" s="9">
        <f>11*25*Z23</f>
        <v>4.3060416666666663</v>
      </c>
      <c r="AC23" s="10">
        <f>K23/AA23</f>
        <v>1.564220698954939</v>
      </c>
      <c r="AD23" s="10">
        <f>K23/AB23</f>
        <v>2.0204170496879388</v>
      </c>
      <c r="AE23" s="3"/>
      <c r="AF23" s="3">
        <v>8.5500000000000007</v>
      </c>
      <c r="AG23" s="3"/>
      <c r="AH23" s="10">
        <f>AVERAGE(AE23:AG23)</f>
        <v>8.5500000000000007</v>
      </c>
      <c r="AI23" s="3">
        <v>13.14</v>
      </c>
      <c r="AJ23" s="13"/>
      <c r="AK23" s="12"/>
      <c r="AL23" s="26"/>
      <c r="AM23" s="14"/>
    </row>
    <row r="24" spans="1:39" ht="16.2" thickBot="1" x14ac:dyDescent="0.35">
      <c r="A24" s="15" t="s">
        <v>30</v>
      </c>
      <c r="B24" s="41">
        <v>45986</v>
      </c>
      <c r="C24" s="1">
        <v>300</v>
      </c>
      <c r="D24" s="7" t="s">
        <v>31</v>
      </c>
      <c r="E24" s="17" t="s">
        <v>34</v>
      </c>
      <c r="F24" s="8"/>
      <c r="G24" s="16" t="s">
        <v>66</v>
      </c>
      <c r="H24" s="1">
        <v>0.86</v>
      </c>
      <c r="I24" s="1" t="s">
        <v>32</v>
      </c>
      <c r="J24" s="3">
        <v>15.34</v>
      </c>
      <c r="K24" s="10">
        <f>J24-6.51</f>
        <v>8.83</v>
      </c>
      <c r="L24" s="9">
        <f>K24*H24</f>
        <v>7.5937999999999999</v>
      </c>
      <c r="M24" s="10">
        <f>L24/(275*2)*1000</f>
        <v>13.806909090909091</v>
      </c>
      <c r="N24" s="10"/>
      <c r="O24" s="10"/>
      <c r="P24" s="3">
        <v>233</v>
      </c>
      <c r="Q24" s="3">
        <v>227</v>
      </c>
      <c r="R24" s="3">
        <v>227</v>
      </c>
      <c r="S24" s="1">
        <v>190</v>
      </c>
      <c r="T24" s="1">
        <v>189</v>
      </c>
      <c r="U24" s="1">
        <v>192</v>
      </c>
      <c r="V24" s="11" cm="1">
        <f t="array" ref="V24">AVERAGE((P24:R24)-30.75)</f>
        <v>198.25</v>
      </c>
      <c r="W24" s="10">
        <f>V24/10000</f>
        <v>1.9824999999999999E-2</v>
      </c>
      <c r="X24" s="11">
        <f>AVERAGE(S24:U24)</f>
        <v>190.33333333333334</v>
      </c>
      <c r="Y24" s="10">
        <f>X24-30.75</f>
        <v>159.58333333333334</v>
      </c>
      <c r="Z24" s="9">
        <f>Y24/10000</f>
        <v>1.5958333333333335E-2</v>
      </c>
      <c r="AA24" s="9">
        <f>11*25*W24</f>
        <v>5.4518749999999994</v>
      </c>
      <c r="AB24" s="9">
        <f>11*25*Z24</f>
        <v>4.3885416666666668</v>
      </c>
      <c r="AC24" s="10">
        <f>K24/AA24</f>
        <v>1.6196262753639805</v>
      </c>
      <c r="AD24" s="10">
        <f>K24/AB24</f>
        <v>2.0120579159743652</v>
      </c>
      <c r="AE24" s="3"/>
      <c r="AF24" s="3">
        <v>6.98</v>
      </c>
      <c r="AG24" s="3"/>
      <c r="AH24" s="10">
        <f>AVERAGE(AE24:AG24)</f>
        <v>6.98</v>
      </c>
      <c r="AI24" s="3">
        <v>13.5</v>
      </c>
      <c r="AJ24" s="13"/>
      <c r="AK24" s="12"/>
      <c r="AL24" s="26"/>
      <c r="AM24" s="14"/>
    </row>
    <row r="25" spans="1:39" ht="15.6" x14ac:dyDescent="0.3">
      <c r="A25" s="6" t="s">
        <v>30</v>
      </c>
      <c r="B25" s="41">
        <v>45986</v>
      </c>
      <c r="C25" s="1">
        <v>300</v>
      </c>
      <c r="D25" s="7" t="s">
        <v>31</v>
      </c>
      <c r="E25" s="17" t="s">
        <v>34</v>
      </c>
      <c r="F25" s="8"/>
      <c r="G25" s="16" t="s">
        <v>67</v>
      </c>
      <c r="H25" s="1">
        <v>0.86</v>
      </c>
      <c r="I25" s="1" t="s">
        <v>32</v>
      </c>
      <c r="J25" s="3">
        <v>15.39</v>
      </c>
      <c r="K25" s="10">
        <f>J25-6.51</f>
        <v>8.8800000000000008</v>
      </c>
      <c r="L25" s="9">
        <f>K25*H25</f>
        <v>7.6368000000000009</v>
      </c>
      <c r="M25" s="10">
        <f>L25/(275*2)*1000</f>
        <v>13.885090909090911</v>
      </c>
      <c r="N25" s="10"/>
      <c r="O25" s="10"/>
      <c r="P25" s="3">
        <v>236</v>
      </c>
      <c r="Q25" s="3">
        <v>237</v>
      </c>
      <c r="R25" s="3">
        <v>226</v>
      </c>
      <c r="S25" s="1">
        <v>196</v>
      </c>
      <c r="T25" s="1">
        <v>187</v>
      </c>
      <c r="U25" s="1">
        <v>192</v>
      </c>
      <c r="V25" s="11" cm="1">
        <f t="array" ref="V25">AVERAGE((P25:R25)-30.75)</f>
        <v>202.25</v>
      </c>
      <c r="W25" s="10">
        <f>V25/10000</f>
        <v>2.0225E-2</v>
      </c>
      <c r="X25" s="11">
        <f>AVERAGE(S25:U25)</f>
        <v>191.66666666666666</v>
      </c>
      <c r="Y25" s="10">
        <f>X25-30.75</f>
        <v>160.91666666666666</v>
      </c>
      <c r="Z25" s="9">
        <f>Y25/10000</f>
        <v>1.6091666666666667E-2</v>
      </c>
      <c r="AA25" s="9">
        <f>11*25*W25</f>
        <v>5.5618749999999997</v>
      </c>
      <c r="AB25" s="9">
        <f>11*25*Z25</f>
        <v>4.4252083333333339</v>
      </c>
      <c r="AC25" s="10">
        <f>K25/AA25</f>
        <v>1.5965838858298687</v>
      </c>
      <c r="AD25" s="10">
        <f>K25/AB25</f>
        <v>2.0066851843133562</v>
      </c>
      <c r="AE25" s="3"/>
      <c r="AF25" s="3">
        <v>7.71</v>
      </c>
      <c r="AG25" s="3"/>
      <c r="AH25" s="10">
        <f>AVERAGE(AE25:AG25)</f>
        <v>7.71</v>
      </c>
      <c r="AI25" s="3">
        <v>7.38</v>
      </c>
      <c r="AJ25" s="13"/>
      <c r="AK25" s="12"/>
      <c r="AL25" s="26"/>
      <c r="AM25" s="14"/>
    </row>
    <row r="26" spans="1:39" ht="40.200000000000003" customHeight="1" thickBot="1" x14ac:dyDescent="0.35">
      <c r="A26" s="34" t="s">
        <v>61</v>
      </c>
      <c r="B26" s="42">
        <v>45986</v>
      </c>
      <c r="C26" s="34">
        <v>300</v>
      </c>
      <c r="D26" s="34" t="s">
        <v>31</v>
      </c>
      <c r="E26" s="34" t="s">
        <v>33</v>
      </c>
      <c r="F26" s="34" t="s">
        <v>40</v>
      </c>
      <c r="G26" s="37" t="s">
        <v>68</v>
      </c>
      <c r="H26" s="28">
        <v>0.86</v>
      </c>
      <c r="I26" s="27"/>
      <c r="J26" s="29"/>
      <c r="K26" s="29"/>
      <c r="L26" s="30">
        <f>SUM(K21:K25)*H26</f>
        <v>37.994800000000005</v>
      </c>
      <c r="M26" s="29">
        <f>MIN(M21:M25)</f>
        <v>13.603636363636367</v>
      </c>
      <c r="N26" s="36">
        <v>375</v>
      </c>
      <c r="O26" s="29">
        <f>L26*N26/1000</f>
        <v>14.248050000000001</v>
      </c>
      <c r="P26" s="58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60"/>
      <c r="AJ26" s="31" t="s">
        <v>69</v>
      </c>
      <c r="AK26" s="32">
        <v>1.5727</v>
      </c>
      <c r="AL26" s="33" t="s">
        <v>70</v>
      </c>
      <c r="AM26" s="14"/>
    </row>
    <row r="27" spans="1:39" ht="15.75" customHeight="1" thickBot="1" x14ac:dyDescent="0.35">
      <c r="A27" s="15" t="s">
        <v>30</v>
      </c>
      <c r="B27" s="41">
        <v>45986</v>
      </c>
      <c r="C27" s="1">
        <v>300</v>
      </c>
      <c r="D27" s="7" t="s">
        <v>31</v>
      </c>
      <c r="E27" s="17" t="s">
        <v>34</v>
      </c>
      <c r="F27" s="18"/>
      <c r="G27" s="16" t="s">
        <v>71</v>
      </c>
      <c r="H27" s="16">
        <v>0.86</v>
      </c>
      <c r="I27" s="1" t="s">
        <v>32</v>
      </c>
      <c r="J27" s="19">
        <v>15.15</v>
      </c>
      <c r="K27" s="21">
        <f>J27-6.51</f>
        <v>8.64</v>
      </c>
      <c r="L27" s="20">
        <f>K27*H27</f>
        <v>7.4304000000000006</v>
      </c>
      <c r="M27" s="21">
        <f>L27/(275*2)*1000</f>
        <v>13.509818181818183</v>
      </c>
      <c r="N27" s="21"/>
      <c r="O27" s="21"/>
      <c r="P27" s="19">
        <v>231</v>
      </c>
      <c r="Q27" s="19">
        <v>238</v>
      </c>
      <c r="R27" s="19">
        <v>217</v>
      </c>
      <c r="S27" s="16">
        <v>189</v>
      </c>
      <c r="T27" s="16">
        <v>193</v>
      </c>
      <c r="U27" s="16">
        <v>187</v>
      </c>
      <c r="V27" s="22" cm="1">
        <f t="array" ref="V27">AVERAGE((P27:R27)-30.75)</f>
        <v>197.91666666666666</v>
      </c>
      <c r="W27" s="21">
        <f>V27/10000</f>
        <v>1.9791666666666666E-2</v>
      </c>
      <c r="X27" s="22">
        <f>AVERAGE(S27:U27)</f>
        <v>189.66666666666666</v>
      </c>
      <c r="Y27" s="21">
        <f>X27-30.75</f>
        <v>158.91666666666666</v>
      </c>
      <c r="Z27" s="20">
        <f>Y27/10000</f>
        <v>1.5891666666666665E-2</v>
      </c>
      <c r="AA27" s="20">
        <f>11*25*W27</f>
        <v>5.442708333333333</v>
      </c>
      <c r="AB27" s="20">
        <f>11*25*Z27</f>
        <v>4.3702083333333333</v>
      </c>
      <c r="AC27" s="21">
        <f>K27/AA27</f>
        <v>1.5874449760765552</v>
      </c>
      <c r="AD27" s="21">
        <f>K27/AB27</f>
        <v>1.9770224531629883</v>
      </c>
      <c r="AE27" s="19"/>
      <c r="AF27" s="19">
        <v>4</v>
      </c>
      <c r="AG27" s="19"/>
      <c r="AH27" s="21">
        <f>AVERAGE(AE27:AG27)</f>
        <v>4</v>
      </c>
      <c r="AI27" s="19">
        <v>7.38</v>
      </c>
      <c r="AJ27" s="23"/>
      <c r="AK27" s="24"/>
      <c r="AL27" s="25"/>
      <c r="AM27" s="14"/>
    </row>
    <row r="28" spans="1:39" ht="16.2" thickBot="1" x14ac:dyDescent="0.35">
      <c r="A28" s="6" t="s">
        <v>30</v>
      </c>
      <c r="B28" s="41">
        <v>45986</v>
      </c>
      <c r="C28" s="1">
        <v>300</v>
      </c>
      <c r="D28" s="7" t="s">
        <v>31</v>
      </c>
      <c r="E28" s="17" t="s">
        <v>34</v>
      </c>
      <c r="F28" s="8"/>
      <c r="G28" s="16" t="s">
        <v>72</v>
      </c>
      <c r="H28" s="1">
        <v>0.86</v>
      </c>
      <c r="I28" s="1" t="s">
        <v>32</v>
      </c>
      <c r="J28" s="3">
        <v>15.4</v>
      </c>
      <c r="K28" s="10">
        <f>J28-6.51</f>
        <v>8.89</v>
      </c>
      <c r="L28" s="9">
        <f>K28*H28</f>
        <v>7.6454000000000004</v>
      </c>
      <c r="M28" s="10">
        <f>L28/(275*2)*1000</f>
        <v>13.900727272727273</v>
      </c>
      <c r="N28" s="10"/>
      <c r="O28" s="10"/>
      <c r="P28" s="3">
        <v>227</v>
      </c>
      <c r="Q28" s="3">
        <v>215</v>
      </c>
      <c r="R28" s="3">
        <v>239</v>
      </c>
      <c r="S28" s="1">
        <v>188</v>
      </c>
      <c r="T28" s="1">
        <v>181</v>
      </c>
      <c r="U28" s="1">
        <v>195</v>
      </c>
      <c r="V28" s="11" cm="1">
        <f t="array" ref="V28">AVERAGE((P28:R28)-30.75)</f>
        <v>196.25</v>
      </c>
      <c r="W28" s="10">
        <f>V28/10000</f>
        <v>1.9625E-2</v>
      </c>
      <c r="X28" s="11">
        <f>AVERAGE(S28:U28)</f>
        <v>188</v>
      </c>
      <c r="Y28" s="10">
        <f>X28-30.75</f>
        <v>157.25</v>
      </c>
      <c r="Z28" s="9">
        <f>Y28/10000</f>
        <v>1.5724999999999999E-2</v>
      </c>
      <c r="AA28" s="9">
        <f>11*25*W28</f>
        <v>5.3968749999999996</v>
      </c>
      <c r="AB28" s="9">
        <f>11*25*Z28</f>
        <v>4.3243749999999999</v>
      </c>
      <c r="AC28" s="10">
        <f>K28/AA28</f>
        <v>1.6472495657209034</v>
      </c>
      <c r="AD28" s="10">
        <f>K28/AB28</f>
        <v>2.0557884087295855</v>
      </c>
      <c r="AE28" s="3"/>
      <c r="AF28" s="3">
        <v>3.97</v>
      </c>
      <c r="AG28" s="3"/>
      <c r="AH28" s="10">
        <f>AVERAGE(AE28:AG28)</f>
        <v>3.97</v>
      </c>
      <c r="AI28" s="3">
        <v>7.9</v>
      </c>
      <c r="AJ28" s="13"/>
      <c r="AK28" s="12"/>
      <c r="AL28" s="26"/>
      <c r="AM28" s="14"/>
    </row>
    <row r="29" spans="1:39" ht="16.2" thickBot="1" x14ac:dyDescent="0.35">
      <c r="A29" s="6" t="s">
        <v>30</v>
      </c>
      <c r="B29" s="41">
        <v>45986</v>
      </c>
      <c r="C29" s="1">
        <v>300</v>
      </c>
      <c r="D29" s="7" t="s">
        <v>31</v>
      </c>
      <c r="E29" s="17" t="s">
        <v>34</v>
      </c>
      <c r="F29" s="8"/>
      <c r="G29" s="16" t="s">
        <v>73</v>
      </c>
      <c r="H29" s="1">
        <v>0.86</v>
      </c>
      <c r="I29" s="1" t="s">
        <v>32</v>
      </c>
      <c r="J29" s="3">
        <v>14.93</v>
      </c>
      <c r="K29" s="10">
        <f>J29-6.51</f>
        <v>8.42</v>
      </c>
      <c r="L29" s="9">
        <f>K29*H29</f>
        <v>7.2412000000000001</v>
      </c>
      <c r="M29" s="10">
        <f>L29/(275*2)*1000</f>
        <v>13.165818181818182</v>
      </c>
      <c r="N29" s="10"/>
      <c r="O29" s="10"/>
      <c r="P29" s="3">
        <v>217</v>
      </c>
      <c r="Q29" s="3">
        <v>214</v>
      </c>
      <c r="R29" s="3">
        <v>215</v>
      </c>
      <c r="S29" s="1">
        <v>190</v>
      </c>
      <c r="T29" s="1">
        <v>179</v>
      </c>
      <c r="U29" s="1">
        <v>189</v>
      </c>
      <c r="V29" s="11" cm="1">
        <f t="array" ref="V29">AVERAGE((P29:R29)-30.75)</f>
        <v>184.58333333333334</v>
      </c>
      <c r="W29" s="10">
        <f>V29/10000</f>
        <v>1.8458333333333334E-2</v>
      </c>
      <c r="X29" s="11">
        <f>AVERAGE(S29:U29)</f>
        <v>186</v>
      </c>
      <c r="Y29" s="10">
        <f>X29-30.75</f>
        <v>155.25</v>
      </c>
      <c r="Z29" s="9">
        <f>Y29/10000</f>
        <v>1.5525000000000001E-2</v>
      </c>
      <c r="AA29" s="9">
        <f>11*25*W29</f>
        <v>5.0760416666666668</v>
      </c>
      <c r="AB29" s="9">
        <f>11*25*Z29</f>
        <v>4.2693750000000001</v>
      </c>
      <c r="AC29" s="10">
        <f>K29/AA29</f>
        <v>1.6587728298789246</v>
      </c>
      <c r="AD29" s="10">
        <f>K29/AB29</f>
        <v>1.9721856243595373</v>
      </c>
      <c r="AE29" s="3"/>
      <c r="AF29" s="3">
        <v>7.88</v>
      </c>
      <c r="AG29" s="3"/>
      <c r="AH29" s="10">
        <f>AVERAGE(AE29:AG29)</f>
        <v>7.88</v>
      </c>
      <c r="AI29" s="3">
        <v>12.65</v>
      </c>
      <c r="AJ29" s="13"/>
      <c r="AK29" s="12"/>
      <c r="AL29" s="26"/>
      <c r="AM29" s="14"/>
    </row>
    <row r="30" spans="1:39" ht="16.2" thickBot="1" x14ac:dyDescent="0.35">
      <c r="A30" s="15" t="s">
        <v>30</v>
      </c>
      <c r="B30" s="41">
        <v>45986</v>
      </c>
      <c r="C30" s="1">
        <v>300</v>
      </c>
      <c r="D30" s="7" t="s">
        <v>31</v>
      </c>
      <c r="E30" s="17" t="s">
        <v>34</v>
      </c>
      <c r="F30" s="8"/>
      <c r="G30" s="16" t="s">
        <v>74</v>
      </c>
      <c r="H30" s="1">
        <v>0.86</v>
      </c>
      <c r="I30" s="1" t="s">
        <v>32</v>
      </c>
      <c r="J30" s="3">
        <v>15.86</v>
      </c>
      <c r="K30" s="10">
        <f>J30-6.51</f>
        <v>9.35</v>
      </c>
      <c r="L30" s="9">
        <f>K30*H30</f>
        <v>8.0410000000000004</v>
      </c>
      <c r="M30" s="10">
        <f>L30/(275*2)*1000</f>
        <v>14.620000000000001</v>
      </c>
      <c r="N30" s="10"/>
      <c r="O30" s="10"/>
      <c r="P30" s="3">
        <v>251</v>
      </c>
      <c r="Q30" s="3">
        <v>242</v>
      </c>
      <c r="R30" s="3">
        <v>234</v>
      </c>
      <c r="S30" s="1">
        <v>203</v>
      </c>
      <c r="T30" s="1">
        <v>191</v>
      </c>
      <c r="U30" s="1">
        <v>194</v>
      </c>
      <c r="V30" s="11" cm="1">
        <f t="array" ref="V30">AVERAGE((P30:R30)-30.75)</f>
        <v>211.58333333333334</v>
      </c>
      <c r="W30" s="10">
        <f>V30/10000</f>
        <v>2.1158333333333335E-2</v>
      </c>
      <c r="X30" s="11">
        <f>AVERAGE(S30:U30)</f>
        <v>196</v>
      </c>
      <c r="Y30" s="10">
        <f>X30-30.75</f>
        <v>165.25</v>
      </c>
      <c r="Z30" s="9">
        <f>Y30/10000</f>
        <v>1.6525000000000001E-2</v>
      </c>
      <c r="AA30" s="9">
        <f>11*25*W30</f>
        <v>5.8185416666666674</v>
      </c>
      <c r="AB30" s="9">
        <f>11*25*Z30</f>
        <v>4.5443750000000005</v>
      </c>
      <c r="AC30" s="10">
        <f>K30/AA30</f>
        <v>1.6069318629381644</v>
      </c>
      <c r="AD30" s="10">
        <f>K30/AB30</f>
        <v>2.057488653555219</v>
      </c>
      <c r="AE30" s="3"/>
      <c r="AF30" s="3">
        <v>7.51</v>
      </c>
      <c r="AG30" s="3"/>
      <c r="AH30" s="10">
        <f>AVERAGE(AE30:AG30)</f>
        <v>7.51</v>
      </c>
      <c r="AI30" s="3">
        <v>12.15</v>
      </c>
      <c r="AJ30" s="13"/>
      <c r="AK30" s="12"/>
      <c r="AL30" s="26"/>
      <c r="AM30" s="14"/>
    </row>
    <row r="31" spans="1:39" ht="15.75" customHeight="1" x14ac:dyDescent="0.3">
      <c r="A31" s="6" t="s">
        <v>30</v>
      </c>
      <c r="B31" s="41">
        <v>45986</v>
      </c>
      <c r="C31" s="1">
        <v>300</v>
      </c>
      <c r="D31" s="7" t="s">
        <v>31</v>
      </c>
      <c r="E31" s="17" t="s">
        <v>34</v>
      </c>
      <c r="F31" s="8"/>
      <c r="G31" s="16" t="s">
        <v>75</v>
      </c>
      <c r="H31" s="1">
        <v>0.86</v>
      </c>
      <c r="I31" s="1" t="s">
        <v>32</v>
      </c>
      <c r="J31" s="3">
        <v>16</v>
      </c>
      <c r="K31" s="10">
        <f>J31-6.51</f>
        <v>9.49</v>
      </c>
      <c r="L31" s="9">
        <f>K31*H31</f>
        <v>8.1614000000000004</v>
      </c>
      <c r="M31" s="10">
        <f>L31/(275*2)*1000</f>
        <v>14.838909090909091</v>
      </c>
      <c r="N31" s="10"/>
      <c r="O31" s="10"/>
      <c r="P31" s="3">
        <v>253</v>
      </c>
      <c r="Q31" s="3">
        <v>254</v>
      </c>
      <c r="R31" s="3">
        <v>248</v>
      </c>
      <c r="S31" s="1">
        <v>203</v>
      </c>
      <c r="T31" s="1">
        <v>198</v>
      </c>
      <c r="U31" s="1">
        <v>201</v>
      </c>
      <c r="V31" s="11" cm="1">
        <f t="array" ref="V31">AVERAGE((P31:R31)-30.75)</f>
        <v>220.91666666666666</v>
      </c>
      <c r="W31" s="10">
        <f>V31/10000</f>
        <v>2.2091666666666666E-2</v>
      </c>
      <c r="X31" s="11">
        <f>AVERAGE(S31:U31)</f>
        <v>200.66666666666666</v>
      </c>
      <c r="Y31" s="10">
        <f>X31-30.75</f>
        <v>169.91666666666666</v>
      </c>
      <c r="Z31" s="9">
        <f>Y31/10000</f>
        <v>1.6991666666666665E-2</v>
      </c>
      <c r="AA31" s="9">
        <f>11*25*W31</f>
        <v>6.0752083333333333</v>
      </c>
      <c r="AB31" s="9">
        <f>11*25*Z31</f>
        <v>4.6727083333333326</v>
      </c>
      <c r="AC31" s="10">
        <f>K31/AA31</f>
        <v>1.5620863482047942</v>
      </c>
      <c r="AD31" s="10">
        <f>K31/AB31</f>
        <v>2.0309420839092249</v>
      </c>
      <c r="AE31" s="3"/>
      <c r="AF31" s="3">
        <v>7.07</v>
      </c>
      <c r="AG31" s="3"/>
      <c r="AH31" s="10">
        <f>AVERAGE(AE31:AG31)</f>
        <v>7.07</v>
      </c>
      <c r="AI31" s="3">
        <v>11.61</v>
      </c>
      <c r="AJ31" s="13"/>
      <c r="AK31" s="12"/>
      <c r="AL31" s="26"/>
      <c r="AM31" s="14"/>
    </row>
    <row r="32" spans="1:39" ht="45.6" customHeight="1" thickBot="1" x14ac:dyDescent="0.35">
      <c r="A32" s="34" t="s">
        <v>61</v>
      </c>
      <c r="B32" s="42">
        <v>45986</v>
      </c>
      <c r="C32" s="34">
        <v>300</v>
      </c>
      <c r="D32" s="34" t="s">
        <v>31</v>
      </c>
      <c r="E32" s="34" t="s">
        <v>33</v>
      </c>
      <c r="F32" s="34" t="s">
        <v>76</v>
      </c>
      <c r="G32" s="37" t="s">
        <v>77</v>
      </c>
      <c r="H32" s="28">
        <v>0.86</v>
      </c>
      <c r="I32" s="27"/>
      <c r="J32" s="29"/>
      <c r="K32" s="29"/>
      <c r="L32" s="30">
        <f>SUM(K27:K31)*H32</f>
        <v>38.519400000000005</v>
      </c>
      <c r="M32" s="29">
        <f>MIN(M27:M31)</f>
        <v>13.165818181818182</v>
      </c>
      <c r="N32" s="36">
        <v>200</v>
      </c>
      <c r="O32" s="29">
        <f>L32*N32/1000</f>
        <v>7.7038800000000007</v>
      </c>
      <c r="P32" s="58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60"/>
      <c r="AJ32" s="31" t="s">
        <v>78</v>
      </c>
      <c r="AK32" s="32">
        <v>1.5702</v>
      </c>
      <c r="AL32" s="33" t="s">
        <v>70</v>
      </c>
      <c r="AM32" s="14"/>
    </row>
    <row r="33" spans="1:39" ht="16.2" thickBot="1" x14ac:dyDescent="0.35">
      <c r="A33" s="15" t="s">
        <v>30</v>
      </c>
      <c r="B33" s="41">
        <v>45986</v>
      </c>
      <c r="C33" s="1">
        <v>300</v>
      </c>
      <c r="D33" s="7" t="s">
        <v>31</v>
      </c>
      <c r="E33" s="17" t="s">
        <v>34</v>
      </c>
      <c r="F33" s="18"/>
      <c r="G33" s="16" t="s">
        <v>79</v>
      </c>
      <c r="H33" s="16">
        <v>0.86</v>
      </c>
      <c r="I33" s="1" t="s">
        <v>32</v>
      </c>
      <c r="J33" s="19">
        <v>15.57</v>
      </c>
      <c r="K33" s="21">
        <f>J33-6.51</f>
        <v>9.06</v>
      </c>
      <c r="L33" s="20">
        <f>K33*H33</f>
        <v>7.7916000000000007</v>
      </c>
      <c r="M33" s="21">
        <f>L33/(275*2)*1000</f>
        <v>14.166545454545457</v>
      </c>
      <c r="N33" s="21"/>
      <c r="O33" s="21"/>
      <c r="P33" s="19">
        <v>232</v>
      </c>
      <c r="Q33" s="19">
        <v>235</v>
      </c>
      <c r="R33" s="19">
        <v>234</v>
      </c>
      <c r="S33" s="16">
        <v>194</v>
      </c>
      <c r="T33" s="16">
        <v>196</v>
      </c>
      <c r="U33" s="16">
        <v>196</v>
      </c>
      <c r="V33" s="22" cm="1">
        <f t="array" ref="V33">AVERAGE((P33:R33)-30.75)</f>
        <v>202.91666666666666</v>
      </c>
      <c r="W33" s="21">
        <f>V33/10000</f>
        <v>2.0291666666666666E-2</v>
      </c>
      <c r="X33" s="22">
        <f>AVERAGE(S33:U33)</f>
        <v>195.33333333333334</v>
      </c>
      <c r="Y33" s="21">
        <f>X33-30.75</f>
        <v>164.58333333333334</v>
      </c>
      <c r="Z33" s="20">
        <f>Y33/10000</f>
        <v>1.6458333333333335E-2</v>
      </c>
      <c r="AA33" s="20">
        <f>11*25*W33</f>
        <v>5.5802083333333332</v>
      </c>
      <c r="AB33" s="20">
        <f>11*25*Z33</f>
        <v>4.526041666666667</v>
      </c>
      <c r="AC33" s="21">
        <f>K33/AA33</f>
        <v>1.6235952958745568</v>
      </c>
      <c r="AD33" s="21">
        <f>K33/AB33</f>
        <v>2.0017491369390101</v>
      </c>
      <c r="AE33" s="19"/>
      <c r="AF33" s="19">
        <v>7.51</v>
      </c>
      <c r="AG33" s="19"/>
      <c r="AH33" s="21">
        <f>AVERAGE(AE33:AG33)</f>
        <v>7.51</v>
      </c>
      <c r="AI33" s="19">
        <v>13.28</v>
      </c>
      <c r="AJ33" s="23"/>
      <c r="AK33" s="24"/>
      <c r="AL33" s="25"/>
      <c r="AM33" s="14"/>
    </row>
    <row r="34" spans="1:39" ht="16.2" thickBot="1" x14ac:dyDescent="0.35">
      <c r="A34" s="6" t="s">
        <v>30</v>
      </c>
      <c r="B34" s="41">
        <v>45986</v>
      </c>
      <c r="C34" s="1">
        <v>300</v>
      </c>
      <c r="D34" s="7" t="s">
        <v>31</v>
      </c>
      <c r="E34" s="17" t="s">
        <v>34</v>
      </c>
      <c r="F34" s="8"/>
      <c r="G34" s="16" t="s">
        <v>80</v>
      </c>
      <c r="H34" s="1">
        <v>0.86</v>
      </c>
      <c r="I34" s="1" t="s">
        <v>32</v>
      </c>
      <c r="J34" s="3">
        <v>15.38</v>
      </c>
      <c r="K34" s="10">
        <f>J34-6.51</f>
        <v>8.870000000000001</v>
      </c>
      <c r="L34" s="9">
        <f>K34*H34</f>
        <v>7.6282000000000005</v>
      </c>
      <c r="M34" s="10">
        <f>L34/(275*2)*1000</f>
        <v>13.869454545454547</v>
      </c>
      <c r="N34" s="10"/>
      <c r="O34" s="10"/>
      <c r="P34" s="3">
        <v>232</v>
      </c>
      <c r="Q34" s="3">
        <v>226</v>
      </c>
      <c r="R34" s="3">
        <v>220</v>
      </c>
      <c r="S34" s="1">
        <v>196</v>
      </c>
      <c r="T34" s="1">
        <v>193</v>
      </c>
      <c r="U34" s="1">
        <v>191</v>
      </c>
      <c r="V34" s="11" cm="1">
        <f t="array" ref="V34">AVERAGE((P34:R34)-30.75)</f>
        <v>195.25</v>
      </c>
      <c r="W34" s="10">
        <f>V34/10000</f>
        <v>1.9525000000000001E-2</v>
      </c>
      <c r="X34" s="11">
        <f>AVERAGE(S34:U34)</f>
        <v>193.33333333333334</v>
      </c>
      <c r="Y34" s="10">
        <f>X34-30.75</f>
        <v>162.58333333333334</v>
      </c>
      <c r="Z34" s="9">
        <f>Y34/10000</f>
        <v>1.6258333333333333E-2</v>
      </c>
      <c r="AA34" s="9">
        <f>11*25*W34</f>
        <v>5.3693749999999998</v>
      </c>
      <c r="AB34" s="9">
        <f>11*25*Z34</f>
        <v>4.4710416666666664</v>
      </c>
      <c r="AC34" s="10">
        <f>K34/AA34</f>
        <v>1.6519613549062975</v>
      </c>
      <c r="AD34" s="10">
        <f>K34/AB34</f>
        <v>1.9838777316993621</v>
      </c>
      <c r="AE34" s="3"/>
      <c r="AF34" s="3">
        <v>4.13</v>
      </c>
      <c r="AG34" s="3"/>
      <c r="AH34" s="10">
        <f>AVERAGE(AE34:AG34)</f>
        <v>4.13</v>
      </c>
      <c r="AI34" s="3">
        <v>8.39</v>
      </c>
      <c r="AJ34" s="13"/>
      <c r="AK34" s="12"/>
      <c r="AL34" s="26"/>
      <c r="AM34" s="14"/>
    </row>
    <row r="35" spans="1:39" ht="15.75" customHeight="1" thickBot="1" x14ac:dyDescent="0.35">
      <c r="A35" s="6" t="s">
        <v>30</v>
      </c>
      <c r="B35" s="41">
        <v>45986</v>
      </c>
      <c r="C35" s="1">
        <v>300</v>
      </c>
      <c r="D35" s="7" t="s">
        <v>31</v>
      </c>
      <c r="E35" s="17" t="s">
        <v>34</v>
      </c>
      <c r="F35" s="8"/>
      <c r="G35" s="16" t="s">
        <v>81</v>
      </c>
      <c r="H35" s="1">
        <v>0.86</v>
      </c>
      <c r="I35" s="1" t="s">
        <v>32</v>
      </c>
      <c r="J35" s="3">
        <v>15.66</v>
      </c>
      <c r="K35" s="10">
        <f>J35-6.51</f>
        <v>9.15</v>
      </c>
      <c r="L35" s="9">
        <f>K35*H35</f>
        <v>7.8689999999999998</v>
      </c>
      <c r="M35" s="10">
        <f>L35/(275*2)*1000</f>
        <v>14.307272727272727</v>
      </c>
      <c r="N35" s="10"/>
      <c r="O35" s="10"/>
      <c r="P35" s="3">
        <v>239</v>
      </c>
      <c r="Q35" s="3">
        <v>239</v>
      </c>
      <c r="R35" s="3">
        <v>205</v>
      </c>
      <c r="S35" s="1">
        <v>198</v>
      </c>
      <c r="T35" s="1">
        <v>185</v>
      </c>
      <c r="U35" s="1">
        <v>181</v>
      </c>
      <c r="V35" s="11" cm="1">
        <f t="array" ref="V35">AVERAGE((P35:R35)-30.75)</f>
        <v>196.91666666666666</v>
      </c>
      <c r="W35" s="10">
        <f>V35/10000</f>
        <v>1.9691666666666666E-2</v>
      </c>
      <c r="X35" s="11">
        <f>AVERAGE(S35:U35)</f>
        <v>188</v>
      </c>
      <c r="Y35" s="10">
        <f>X35-30.75</f>
        <v>157.25</v>
      </c>
      <c r="Z35" s="9">
        <f>Y35/10000</f>
        <v>1.5724999999999999E-2</v>
      </c>
      <c r="AA35" s="9">
        <f>11*25*W35</f>
        <v>5.4152083333333332</v>
      </c>
      <c r="AB35" s="9">
        <f>11*25*Z35</f>
        <v>4.3243749999999999</v>
      </c>
      <c r="AC35" s="10">
        <f>K35/AA35</f>
        <v>1.6896856846073944</v>
      </c>
      <c r="AD35" s="10">
        <f>K35/AB35</f>
        <v>2.1159127041479984</v>
      </c>
      <c r="AE35" s="3"/>
      <c r="AF35" s="3">
        <v>7.92</v>
      </c>
      <c r="AG35" s="3"/>
      <c r="AH35" s="10">
        <f>AVERAGE(AE35:AG35)</f>
        <v>7.92</v>
      </c>
      <c r="AI35" s="3">
        <v>11.95</v>
      </c>
      <c r="AJ35" s="13"/>
      <c r="AK35" s="12"/>
      <c r="AL35" s="26"/>
      <c r="AM35" s="14"/>
    </row>
    <row r="36" spans="1:39" ht="16.2" thickBot="1" x14ac:dyDescent="0.35">
      <c r="A36" s="15" t="s">
        <v>30</v>
      </c>
      <c r="B36" s="41">
        <v>45986</v>
      </c>
      <c r="C36" s="1">
        <v>300</v>
      </c>
      <c r="D36" s="7" t="s">
        <v>31</v>
      </c>
      <c r="E36" s="17" t="s">
        <v>34</v>
      </c>
      <c r="F36" s="8"/>
      <c r="G36" s="16" t="s">
        <v>82</v>
      </c>
      <c r="H36" s="1">
        <v>0.86</v>
      </c>
      <c r="I36" s="1" t="s">
        <v>32</v>
      </c>
      <c r="J36" s="3">
        <v>15.07</v>
      </c>
      <c r="K36" s="10">
        <f>J36-6.51</f>
        <v>8.56</v>
      </c>
      <c r="L36" s="9">
        <f>K36*H36</f>
        <v>7.3616000000000001</v>
      </c>
      <c r="M36" s="10">
        <f>L36/(275*2)*1000</f>
        <v>13.384727272727273</v>
      </c>
      <c r="N36" s="10"/>
      <c r="O36" s="10"/>
      <c r="P36" s="3">
        <v>215</v>
      </c>
      <c r="Q36" s="3">
        <v>230</v>
      </c>
      <c r="R36" s="3">
        <v>212</v>
      </c>
      <c r="S36" s="1">
        <v>191</v>
      </c>
      <c r="T36" s="1">
        <v>186</v>
      </c>
      <c r="U36" s="1">
        <v>183</v>
      </c>
      <c r="V36" s="11" cm="1">
        <f t="array" ref="V36">AVERAGE((P36:R36)-30.75)</f>
        <v>188.25</v>
      </c>
      <c r="W36" s="10">
        <f>V36/10000</f>
        <v>1.8825000000000001E-2</v>
      </c>
      <c r="X36" s="11">
        <f>AVERAGE(S36:U36)</f>
        <v>186.66666666666666</v>
      </c>
      <c r="Y36" s="10">
        <f>X36-30.75</f>
        <v>155.91666666666666</v>
      </c>
      <c r="Z36" s="9">
        <f>Y36/10000</f>
        <v>1.5591666666666665E-2</v>
      </c>
      <c r="AA36" s="9">
        <f>11*25*W36</f>
        <v>5.1768750000000008</v>
      </c>
      <c r="AB36" s="9">
        <f>11*25*Z36</f>
        <v>4.2877083333333328</v>
      </c>
      <c r="AC36" s="10">
        <f>K36/AA36</f>
        <v>1.6535071833876613</v>
      </c>
      <c r="AD36" s="10">
        <f>K36/AB36</f>
        <v>1.9964044507069632</v>
      </c>
      <c r="AE36" s="3"/>
      <c r="AF36" s="3">
        <v>8.57</v>
      </c>
      <c r="AG36" s="3"/>
      <c r="AH36" s="10">
        <f>AVERAGE(AE36:AG36)</f>
        <v>8.57</v>
      </c>
      <c r="AI36" s="3">
        <v>13.45</v>
      </c>
      <c r="AJ36" s="13"/>
      <c r="AK36" s="12"/>
      <c r="AL36" s="26"/>
      <c r="AM36" s="14"/>
    </row>
    <row r="37" spans="1:39" ht="15.6" customHeight="1" x14ac:dyDescent="0.3">
      <c r="A37" s="6" t="s">
        <v>30</v>
      </c>
      <c r="B37" s="41">
        <v>45986</v>
      </c>
      <c r="C37" s="1">
        <v>300</v>
      </c>
      <c r="D37" s="7" t="s">
        <v>31</v>
      </c>
      <c r="E37" s="17" t="s">
        <v>34</v>
      </c>
      <c r="F37" s="8"/>
      <c r="G37" s="16" t="s">
        <v>83</v>
      </c>
      <c r="H37" s="1">
        <v>0.86</v>
      </c>
      <c r="I37" s="1" t="s">
        <v>32</v>
      </c>
      <c r="J37" s="3">
        <v>15.41</v>
      </c>
      <c r="K37" s="10">
        <f>J37-6.51</f>
        <v>8.9</v>
      </c>
      <c r="L37" s="9">
        <f>K37*H37</f>
        <v>7.6539999999999999</v>
      </c>
      <c r="M37" s="10">
        <f>L37/(275*2)*1000</f>
        <v>13.916363636363636</v>
      </c>
      <c r="N37" s="10"/>
      <c r="O37" s="10"/>
      <c r="P37" s="3">
        <v>231</v>
      </c>
      <c r="Q37" s="3">
        <v>219</v>
      </c>
      <c r="R37" s="3">
        <v>227</v>
      </c>
      <c r="S37" s="1">
        <v>189</v>
      </c>
      <c r="T37" s="1">
        <v>181</v>
      </c>
      <c r="U37" s="1">
        <v>189</v>
      </c>
      <c r="V37" s="11" cm="1">
        <f t="array" ref="V37">AVERAGE((P37:R37)-30.75)</f>
        <v>194.91666666666666</v>
      </c>
      <c r="W37" s="10">
        <f>V37/10000</f>
        <v>1.9491666666666664E-2</v>
      </c>
      <c r="X37" s="11">
        <f>AVERAGE(S37:U37)</f>
        <v>186.33333333333334</v>
      </c>
      <c r="Y37" s="10">
        <f>X37-30.75</f>
        <v>155.58333333333334</v>
      </c>
      <c r="Z37" s="9">
        <f>Y37/10000</f>
        <v>1.5558333333333334E-2</v>
      </c>
      <c r="AA37" s="9">
        <f>11*25*W37</f>
        <v>5.3602083333333326</v>
      </c>
      <c r="AB37" s="9">
        <f>11*25*Z37</f>
        <v>4.2785416666666665</v>
      </c>
      <c r="AC37" s="10">
        <f>K37/AA37</f>
        <v>1.6603832251544952</v>
      </c>
      <c r="AD37" s="10">
        <f>K37/AB37</f>
        <v>2.0801480255149243</v>
      </c>
      <c r="AE37" s="3"/>
      <c r="AF37" s="3">
        <v>3.71</v>
      </c>
      <c r="AG37" s="3"/>
      <c r="AH37" s="10">
        <f>AVERAGE(AE37:AG37)</f>
        <v>3.71</v>
      </c>
      <c r="AI37" s="3">
        <v>7.64</v>
      </c>
      <c r="AJ37" s="13"/>
      <c r="AK37" s="12"/>
      <c r="AL37" s="26"/>
      <c r="AM37" s="14"/>
    </row>
    <row r="38" spans="1:39" ht="51" customHeight="1" thickBot="1" x14ac:dyDescent="0.35">
      <c r="A38" s="34" t="s">
        <v>61</v>
      </c>
      <c r="B38" s="42">
        <v>45986</v>
      </c>
      <c r="C38" s="34">
        <v>300</v>
      </c>
      <c r="D38" s="34" t="s">
        <v>31</v>
      </c>
      <c r="E38" s="34" t="s">
        <v>33</v>
      </c>
      <c r="F38" s="52" t="s">
        <v>84</v>
      </c>
      <c r="G38" s="38" t="s">
        <v>85</v>
      </c>
      <c r="H38" s="28">
        <v>0.86</v>
      </c>
      <c r="I38" s="27"/>
      <c r="J38" s="29"/>
      <c r="K38" s="29"/>
      <c r="L38" s="30">
        <f>SUM(K33:K37)*H38</f>
        <v>38.304400000000001</v>
      </c>
      <c r="M38" s="29">
        <f>MIN(M33:M37)</f>
        <v>13.384727272727273</v>
      </c>
      <c r="N38" s="36">
        <v>375</v>
      </c>
      <c r="O38" s="29">
        <f>L38*N38/1000</f>
        <v>14.36415</v>
      </c>
      <c r="P38" s="58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60"/>
      <c r="AJ38" s="31" t="s">
        <v>86</v>
      </c>
      <c r="AK38" s="32">
        <v>1.5702</v>
      </c>
      <c r="AL38" s="33" t="s">
        <v>70</v>
      </c>
      <c r="AM38" s="14"/>
    </row>
    <row r="39" spans="1:39" ht="16.2" thickBot="1" x14ac:dyDescent="0.35">
      <c r="A39" s="15" t="s">
        <v>30</v>
      </c>
      <c r="B39" s="41">
        <v>45986</v>
      </c>
      <c r="C39" s="1">
        <v>300</v>
      </c>
      <c r="D39" s="7" t="s">
        <v>31</v>
      </c>
      <c r="E39" s="17" t="s">
        <v>34</v>
      </c>
      <c r="F39" s="18"/>
      <c r="G39" s="16" t="s">
        <v>87</v>
      </c>
      <c r="H39" s="16">
        <v>0.86</v>
      </c>
      <c r="I39" s="1" t="s">
        <v>32</v>
      </c>
      <c r="J39" s="19">
        <v>15.73</v>
      </c>
      <c r="K39" s="21">
        <f>J39-6.51</f>
        <v>9.2200000000000006</v>
      </c>
      <c r="L39" s="20">
        <f>K39*H39</f>
        <v>7.9292000000000007</v>
      </c>
      <c r="M39" s="21">
        <f>L39/(275*2)*1000</f>
        <v>14.416727272727274</v>
      </c>
      <c r="N39" s="21"/>
      <c r="O39" s="21"/>
      <c r="P39" s="19">
        <v>238</v>
      </c>
      <c r="Q39" s="19">
        <v>243</v>
      </c>
      <c r="R39" s="19">
        <v>254</v>
      </c>
      <c r="S39" s="16">
        <v>194</v>
      </c>
      <c r="T39" s="16">
        <v>192</v>
      </c>
      <c r="U39" s="16">
        <v>201</v>
      </c>
      <c r="V39" s="22" cm="1">
        <f t="array" ref="V39">AVERAGE((P39:R39)-30.75)</f>
        <v>214.25</v>
      </c>
      <c r="W39" s="21">
        <f>V39/10000</f>
        <v>2.1425E-2</v>
      </c>
      <c r="X39" s="22">
        <f>AVERAGE(S39:U39)</f>
        <v>195.66666666666666</v>
      </c>
      <c r="Y39" s="21">
        <f>X39-30.75</f>
        <v>164.91666666666666</v>
      </c>
      <c r="Z39" s="20">
        <f>Y39/10000</f>
        <v>1.6491666666666665E-2</v>
      </c>
      <c r="AA39" s="20">
        <f>11*25*W39</f>
        <v>5.8918749999999998</v>
      </c>
      <c r="AB39" s="20">
        <f>11*25*Z39</f>
        <v>4.5352083333333333</v>
      </c>
      <c r="AC39" s="21">
        <f>K39/AA39</f>
        <v>1.5648668717513528</v>
      </c>
      <c r="AD39" s="21">
        <f>K39/AB39</f>
        <v>2.0329826817952137</v>
      </c>
      <c r="AE39" s="19"/>
      <c r="AF39" s="19">
        <v>4.04</v>
      </c>
      <c r="AG39" s="19"/>
      <c r="AH39" s="21">
        <f>AVERAGE(AE39:AG39)</f>
        <v>4.04</v>
      </c>
      <c r="AI39" s="19">
        <v>8.1300000000000008</v>
      </c>
      <c r="AJ39" s="23"/>
      <c r="AK39" s="24"/>
      <c r="AL39" s="25"/>
      <c r="AM39" s="14"/>
    </row>
    <row r="40" spans="1:39" ht="16.2" thickBot="1" x14ac:dyDescent="0.35">
      <c r="A40" s="6" t="s">
        <v>30</v>
      </c>
      <c r="B40" s="41">
        <v>45986</v>
      </c>
      <c r="C40" s="1">
        <v>300</v>
      </c>
      <c r="D40" s="7" t="s">
        <v>31</v>
      </c>
      <c r="E40" s="17" t="s">
        <v>34</v>
      </c>
      <c r="F40" s="8"/>
      <c r="G40" s="16" t="s">
        <v>88</v>
      </c>
      <c r="H40" s="1">
        <v>0.86</v>
      </c>
      <c r="I40" s="1" t="s">
        <v>32</v>
      </c>
      <c r="J40" s="3">
        <v>15.86</v>
      </c>
      <c r="K40" s="10">
        <f>J40-6.51</f>
        <v>9.35</v>
      </c>
      <c r="L40" s="9">
        <f>K40*H40</f>
        <v>8.0410000000000004</v>
      </c>
      <c r="M40" s="10">
        <f>L40/(275*2)*1000</f>
        <v>14.620000000000001</v>
      </c>
      <c r="N40" s="10"/>
      <c r="O40" s="10"/>
      <c r="P40" s="3">
        <v>242</v>
      </c>
      <c r="Q40" s="3">
        <v>252</v>
      </c>
      <c r="R40" s="3">
        <v>233</v>
      </c>
      <c r="S40" s="1">
        <v>195</v>
      </c>
      <c r="T40" s="1">
        <v>198</v>
      </c>
      <c r="U40" s="1">
        <v>192</v>
      </c>
      <c r="V40" s="11" cm="1">
        <f t="array" ref="V40">AVERAGE((P40:R40)-30.75)</f>
        <v>211.58333333333334</v>
      </c>
      <c r="W40" s="10">
        <f>V40/10000</f>
        <v>2.1158333333333335E-2</v>
      </c>
      <c r="X40" s="11">
        <f>AVERAGE(S40:U40)</f>
        <v>195</v>
      </c>
      <c r="Y40" s="10">
        <f>X40-30.75</f>
        <v>164.25</v>
      </c>
      <c r="Z40" s="9">
        <f>Y40/10000</f>
        <v>1.6424999999999999E-2</v>
      </c>
      <c r="AA40" s="9">
        <f>11*25*W40</f>
        <v>5.8185416666666674</v>
      </c>
      <c r="AB40" s="9">
        <f>11*25*Z40</f>
        <v>4.5168749999999998</v>
      </c>
      <c r="AC40" s="10">
        <f>K40/AA40</f>
        <v>1.6069318629381644</v>
      </c>
      <c r="AD40" s="10">
        <f>K40/AB40</f>
        <v>2.0700152207001521</v>
      </c>
      <c r="AE40" s="3"/>
      <c r="AF40" s="3">
        <v>3.77</v>
      </c>
      <c r="AG40" s="3"/>
      <c r="AH40" s="10">
        <f>AVERAGE(AE40:AG40)</f>
        <v>3.77</v>
      </c>
      <c r="AI40" s="3">
        <v>8.11</v>
      </c>
      <c r="AJ40" s="13"/>
      <c r="AK40" s="12"/>
      <c r="AL40" s="26"/>
      <c r="AM40" s="14"/>
    </row>
    <row r="41" spans="1:39" ht="15.75" customHeight="1" thickBot="1" x14ac:dyDescent="0.35">
      <c r="A41" s="6" t="s">
        <v>30</v>
      </c>
      <c r="B41" s="41">
        <v>45986</v>
      </c>
      <c r="C41" s="1">
        <v>300</v>
      </c>
      <c r="D41" s="7" t="s">
        <v>31</v>
      </c>
      <c r="E41" s="17" t="s">
        <v>34</v>
      </c>
      <c r="F41" s="8"/>
      <c r="G41" s="16" t="s">
        <v>89</v>
      </c>
      <c r="H41" s="1">
        <v>0.86</v>
      </c>
      <c r="I41" s="1" t="s">
        <v>32</v>
      </c>
      <c r="J41" s="3">
        <v>15.27</v>
      </c>
      <c r="K41" s="10">
        <f>J41-6.51</f>
        <v>8.76</v>
      </c>
      <c r="L41" s="9">
        <f>K41*H41</f>
        <v>7.5335999999999999</v>
      </c>
      <c r="M41" s="10">
        <f>L41/(275*2)*1000</f>
        <v>13.697454545454546</v>
      </c>
      <c r="N41" s="10"/>
      <c r="O41" s="10"/>
      <c r="P41" s="3">
        <v>232</v>
      </c>
      <c r="Q41" s="3">
        <v>224</v>
      </c>
      <c r="R41" s="3">
        <v>222</v>
      </c>
      <c r="S41" s="1">
        <v>190</v>
      </c>
      <c r="T41" s="1">
        <v>181</v>
      </c>
      <c r="U41" s="1">
        <v>185</v>
      </c>
      <c r="V41" s="11" cm="1">
        <f t="array" ref="V41">AVERAGE((P41:R41)-30.75)</f>
        <v>195.25</v>
      </c>
      <c r="W41" s="10">
        <f>V41/10000</f>
        <v>1.9525000000000001E-2</v>
      </c>
      <c r="X41" s="11">
        <f>AVERAGE(S41:U41)</f>
        <v>185.33333333333334</v>
      </c>
      <c r="Y41" s="10">
        <f>X41-30.75</f>
        <v>154.58333333333334</v>
      </c>
      <c r="Z41" s="9">
        <f>Y41/10000</f>
        <v>1.5458333333333334E-2</v>
      </c>
      <c r="AA41" s="9">
        <f>11*25*W41</f>
        <v>5.3693749999999998</v>
      </c>
      <c r="AB41" s="9">
        <f>11*25*Z41</f>
        <v>4.2510416666666666</v>
      </c>
      <c r="AC41" s="10">
        <f>K41/AA41</f>
        <v>1.6314747992084739</v>
      </c>
      <c r="AD41" s="10">
        <f>K41/AB41</f>
        <v>2.0606714040676306</v>
      </c>
      <c r="AE41" s="3"/>
      <c r="AF41" s="3">
        <v>7.69</v>
      </c>
      <c r="AG41" s="3"/>
      <c r="AH41" s="10">
        <f>AVERAGE(AE41:AG41)</f>
        <v>7.69</v>
      </c>
      <c r="AI41" s="3">
        <v>14.96</v>
      </c>
      <c r="AJ41" s="13"/>
      <c r="AK41" s="12"/>
      <c r="AL41" s="26"/>
      <c r="AM41" s="14"/>
    </row>
    <row r="42" spans="1:39" ht="16.2" thickBot="1" x14ac:dyDescent="0.35">
      <c r="A42" s="15" t="s">
        <v>30</v>
      </c>
      <c r="B42" s="41">
        <v>45986</v>
      </c>
      <c r="C42" s="1">
        <v>300</v>
      </c>
      <c r="D42" s="7" t="s">
        <v>31</v>
      </c>
      <c r="E42" s="17" t="s">
        <v>34</v>
      </c>
      <c r="F42" s="8"/>
      <c r="G42" s="16" t="s">
        <v>90</v>
      </c>
      <c r="H42" s="1">
        <v>0.86</v>
      </c>
      <c r="I42" s="1" t="s">
        <v>32</v>
      </c>
      <c r="J42" s="3">
        <v>14.69</v>
      </c>
      <c r="K42" s="10">
        <f>J42-6.51</f>
        <v>8.18</v>
      </c>
      <c r="L42" s="9">
        <f>K42*H42</f>
        <v>7.0347999999999997</v>
      </c>
      <c r="M42" s="10">
        <f>L42/(275*2)*1000</f>
        <v>12.790545454545454</v>
      </c>
      <c r="N42" s="10"/>
      <c r="O42" s="10"/>
      <c r="P42" s="3">
        <v>200</v>
      </c>
      <c r="Q42" s="3">
        <v>206</v>
      </c>
      <c r="R42" s="3">
        <v>204</v>
      </c>
      <c r="S42" s="1">
        <v>179</v>
      </c>
      <c r="T42" s="1">
        <v>175</v>
      </c>
      <c r="U42" s="1">
        <v>182</v>
      </c>
      <c r="V42" s="11" cm="1">
        <f t="array" ref="V42">AVERAGE((P42:R42)-30.75)</f>
        <v>172.58333333333334</v>
      </c>
      <c r="W42" s="10">
        <f>V42/10000</f>
        <v>1.7258333333333334E-2</v>
      </c>
      <c r="X42" s="11">
        <f>AVERAGE(S42:U42)</f>
        <v>178.66666666666666</v>
      </c>
      <c r="Y42" s="10">
        <f>X42-30.75</f>
        <v>147.91666666666666</v>
      </c>
      <c r="Z42" s="9">
        <f>Y42/10000</f>
        <v>1.4791666666666667E-2</v>
      </c>
      <c r="AA42" s="9">
        <f>11*25*W42</f>
        <v>4.7460416666666667</v>
      </c>
      <c r="AB42" s="9">
        <f>11*25*Z42</f>
        <v>4.067708333333333</v>
      </c>
      <c r="AC42" s="10">
        <f>K42/AA42</f>
        <v>1.7235415477810456</v>
      </c>
      <c r="AD42" s="10">
        <f>K42/AB42</f>
        <v>2.0109603072983355</v>
      </c>
      <c r="AE42" s="3"/>
      <c r="AF42" s="3">
        <v>4.37</v>
      </c>
      <c r="AG42" s="3"/>
      <c r="AH42" s="10">
        <f>AVERAGE(AE42:AG42)</f>
        <v>4.37</v>
      </c>
      <c r="AI42" s="3">
        <v>9.89</v>
      </c>
      <c r="AJ42" s="13"/>
      <c r="AK42" s="12"/>
      <c r="AL42" s="26"/>
      <c r="AM42" s="14"/>
    </row>
    <row r="43" spans="1:39" ht="15.6" x14ac:dyDescent="0.3">
      <c r="A43" s="6" t="s">
        <v>30</v>
      </c>
      <c r="B43" s="41">
        <v>45986</v>
      </c>
      <c r="C43" s="1">
        <v>300</v>
      </c>
      <c r="D43" s="7" t="s">
        <v>31</v>
      </c>
      <c r="E43" s="17" t="s">
        <v>34</v>
      </c>
      <c r="F43" s="8"/>
      <c r="G43" s="16" t="s">
        <v>91</v>
      </c>
      <c r="H43" s="1">
        <v>0.86</v>
      </c>
      <c r="I43" s="1" t="s">
        <v>32</v>
      </c>
      <c r="J43" s="3">
        <v>15.08</v>
      </c>
      <c r="K43" s="10">
        <f>J43-6.51</f>
        <v>8.57</v>
      </c>
      <c r="L43" s="9">
        <f>K43*H43</f>
        <v>7.3702000000000005</v>
      </c>
      <c r="M43" s="10">
        <f>L43/(275*2)*1000</f>
        <v>13.400363636363638</v>
      </c>
      <c r="N43" s="10"/>
      <c r="O43" s="10"/>
      <c r="P43" s="3">
        <v>209</v>
      </c>
      <c r="Q43" s="3">
        <v>229</v>
      </c>
      <c r="R43" s="3">
        <v>219</v>
      </c>
      <c r="S43" s="1">
        <v>187</v>
      </c>
      <c r="T43" s="1">
        <v>187</v>
      </c>
      <c r="U43" s="1">
        <v>186</v>
      </c>
      <c r="V43" s="11" cm="1">
        <f t="array" ref="V43">AVERAGE((P43:R43)-30.75)</f>
        <v>188.25</v>
      </c>
      <c r="W43" s="10">
        <f>V43/10000</f>
        <v>1.8825000000000001E-2</v>
      </c>
      <c r="X43" s="11">
        <f>AVERAGE(S43:U43)</f>
        <v>186.66666666666666</v>
      </c>
      <c r="Y43" s="10">
        <f>X43-30.75</f>
        <v>155.91666666666666</v>
      </c>
      <c r="Z43" s="9">
        <f>Y43/10000</f>
        <v>1.5591666666666665E-2</v>
      </c>
      <c r="AA43" s="9">
        <f>11*25*W43</f>
        <v>5.1768750000000008</v>
      </c>
      <c r="AB43" s="9">
        <f>11*25*Z43</f>
        <v>4.2877083333333328</v>
      </c>
      <c r="AC43" s="10">
        <f>K43/AA43</f>
        <v>1.655438850657974</v>
      </c>
      <c r="AD43" s="10">
        <f>K43/AB43</f>
        <v>1.9987366988970412</v>
      </c>
      <c r="AE43" s="3"/>
      <c r="AF43" s="3">
        <v>7.87</v>
      </c>
      <c r="AG43" s="3"/>
      <c r="AH43" s="10">
        <f>AVERAGE(AE43:AG43)</f>
        <v>7.87</v>
      </c>
      <c r="AI43" s="3">
        <v>13.97</v>
      </c>
      <c r="AJ43" s="13"/>
      <c r="AK43" s="12"/>
      <c r="AL43" s="26"/>
      <c r="AM43" s="14"/>
    </row>
    <row r="44" spans="1:39" ht="51" customHeight="1" thickBot="1" x14ac:dyDescent="0.35">
      <c r="A44" s="34" t="s">
        <v>61</v>
      </c>
      <c r="B44" s="42">
        <v>45986</v>
      </c>
      <c r="C44" s="34">
        <v>300</v>
      </c>
      <c r="D44" s="34" t="s">
        <v>31</v>
      </c>
      <c r="E44" s="34" t="s">
        <v>33</v>
      </c>
      <c r="F44" s="52" t="s">
        <v>92</v>
      </c>
      <c r="G44" s="38" t="s">
        <v>93</v>
      </c>
      <c r="H44" s="28">
        <v>0.86</v>
      </c>
      <c r="I44" s="27"/>
      <c r="J44" s="29"/>
      <c r="K44" s="29"/>
      <c r="L44" s="30">
        <f>SUM(K39:K43)*H44</f>
        <v>37.908799999999999</v>
      </c>
      <c r="M44" s="29">
        <f>MIN(M39:M43)</f>
        <v>12.790545454545454</v>
      </c>
      <c r="N44" s="53">
        <v>200</v>
      </c>
      <c r="O44" s="29">
        <f>L44*N44/1000</f>
        <v>7.5817600000000001</v>
      </c>
      <c r="P44" s="58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60"/>
      <c r="AJ44" s="31" t="s">
        <v>94</v>
      </c>
      <c r="AK44" s="32">
        <v>1.5718000000000001</v>
      </c>
      <c r="AL44" s="33" t="s">
        <v>70</v>
      </c>
      <c r="AM44" s="14"/>
    </row>
    <row r="45" spans="1:39" ht="15.75" customHeight="1" thickBot="1" x14ac:dyDescent="0.35">
      <c r="A45" s="40" t="s">
        <v>30</v>
      </c>
      <c r="B45" s="44">
        <v>45994</v>
      </c>
      <c r="C45" s="5">
        <v>300</v>
      </c>
      <c r="D45" s="39" t="s">
        <v>31</v>
      </c>
      <c r="E45" s="17" t="s">
        <v>34</v>
      </c>
      <c r="F45" s="45"/>
      <c r="G45" s="5" t="s">
        <v>95</v>
      </c>
      <c r="H45" s="5">
        <v>0.86</v>
      </c>
      <c r="I45" s="5" t="s">
        <v>32</v>
      </c>
      <c r="J45" s="4">
        <v>15.06</v>
      </c>
      <c r="K45" s="46">
        <f>J45-6.51</f>
        <v>8.5500000000000007</v>
      </c>
      <c r="L45" s="47">
        <f>K45*H45</f>
        <v>7.3530000000000006</v>
      </c>
      <c r="M45" s="46">
        <f>L45/(275*2)*1000</f>
        <v>13.369090909090911</v>
      </c>
      <c r="N45" s="46"/>
      <c r="O45" s="46"/>
      <c r="P45" s="4">
        <v>224</v>
      </c>
      <c r="Q45" s="4">
        <v>195</v>
      </c>
      <c r="R45" s="4">
        <v>212</v>
      </c>
      <c r="S45" s="5">
        <v>176</v>
      </c>
      <c r="T45" s="5">
        <v>169</v>
      </c>
      <c r="U45" s="5">
        <v>171</v>
      </c>
      <c r="V45" s="48" cm="1">
        <f t="array" ref="V45">AVERAGE((P45:R45)-30.75)</f>
        <v>179.58333333333334</v>
      </c>
      <c r="W45" s="46">
        <f>V45/10000</f>
        <v>1.7958333333333333E-2</v>
      </c>
      <c r="X45" s="48">
        <f>AVERAGE(S45:U45)</f>
        <v>172</v>
      </c>
      <c r="Y45" s="46">
        <f>X45-30.75</f>
        <v>141.25</v>
      </c>
      <c r="Z45" s="47">
        <f>Y45/10000</f>
        <v>1.4125E-2</v>
      </c>
      <c r="AA45" s="47">
        <f>11*25*W45</f>
        <v>4.9385416666666666</v>
      </c>
      <c r="AB45" s="47">
        <f>11*25*Z45</f>
        <v>3.8843749999999999</v>
      </c>
      <c r="AC45" s="46">
        <f>K45/AA45</f>
        <v>1.7312803206074669</v>
      </c>
      <c r="AD45" s="46">
        <f>K45/AB45</f>
        <v>2.2011263073209979</v>
      </c>
      <c r="AE45" s="4"/>
      <c r="AF45" s="4">
        <v>9.82</v>
      </c>
      <c r="AG45" s="4"/>
      <c r="AH45" s="46">
        <f>AVERAGE(AE45:AG45)</f>
        <v>9.82</v>
      </c>
      <c r="AI45" s="4">
        <v>14.04</v>
      </c>
      <c r="AJ45" s="54"/>
      <c r="AK45" s="50"/>
      <c r="AL45" s="51"/>
      <c r="AM45" s="14"/>
    </row>
    <row r="46" spans="1:39" ht="16.2" thickBot="1" x14ac:dyDescent="0.35">
      <c r="A46" s="6" t="s">
        <v>30</v>
      </c>
      <c r="B46" s="44">
        <v>45994</v>
      </c>
      <c r="C46" s="1">
        <v>300</v>
      </c>
      <c r="D46" s="39" t="s">
        <v>31</v>
      </c>
      <c r="E46" s="17" t="s">
        <v>34</v>
      </c>
      <c r="F46" s="8"/>
      <c r="G46" s="5" t="s">
        <v>96</v>
      </c>
      <c r="H46" s="1">
        <v>0.86</v>
      </c>
      <c r="I46" s="1" t="s">
        <v>32</v>
      </c>
      <c r="J46" s="3">
        <v>15.77</v>
      </c>
      <c r="K46" s="10">
        <f>J46-6.51</f>
        <v>9.26</v>
      </c>
      <c r="L46" s="9">
        <f>K46*H46</f>
        <v>7.9635999999999996</v>
      </c>
      <c r="M46" s="10">
        <f>L46/(275*2)*1000</f>
        <v>14.479272727272726</v>
      </c>
      <c r="N46" s="10"/>
      <c r="O46" s="10"/>
      <c r="P46" s="3">
        <v>212</v>
      </c>
      <c r="Q46" s="3">
        <v>210</v>
      </c>
      <c r="R46" s="3">
        <v>219</v>
      </c>
      <c r="S46" s="1">
        <v>176</v>
      </c>
      <c r="T46" s="1">
        <v>170</v>
      </c>
      <c r="U46" s="1">
        <v>168</v>
      </c>
      <c r="V46" s="11" cm="1">
        <f t="array" ref="V46">AVERAGE((P46:R46)-30.75)</f>
        <v>182.91666666666666</v>
      </c>
      <c r="W46" s="10">
        <f>V46/10000</f>
        <v>1.8291666666666664E-2</v>
      </c>
      <c r="X46" s="11">
        <f>AVERAGE(S46:U46)</f>
        <v>171.33333333333334</v>
      </c>
      <c r="Y46" s="10">
        <f>X46-30.75</f>
        <v>140.58333333333334</v>
      </c>
      <c r="Z46" s="9">
        <f>Y46/10000</f>
        <v>1.4058333333333334E-2</v>
      </c>
      <c r="AA46" s="9">
        <f>11*25*W46</f>
        <v>5.0302083333333325</v>
      </c>
      <c r="AB46" s="9">
        <f>11*25*Z46</f>
        <v>3.8660416666666668</v>
      </c>
      <c r="AC46" s="10">
        <f>K46/AA46</f>
        <v>1.8408780285773454</v>
      </c>
      <c r="AD46" s="10">
        <f>K46/AB46</f>
        <v>2.3952147437624616</v>
      </c>
      <c r="AE46" s="3"/>
      <c r="AF46" s="3">
        <v>4.4409999999999998</v>
      </c>
      <c r="AG46" s="3"/>
      <c r="AH46" s="10">
        <f>AVERAGE(AE46:AG46)</f>
        <v>4.4409999999999998</v>
      </c>
      <c r="AI46" s="3">
        <v>7.35</v>
      </c>
      <c r="AJ46" s="55"/>
      <c r="AK46" s="12"/>
      <c r="AL46" s="26"/>
      <c r="AM46" s="14"/>
    </row>
    <row r="47" spans="1:39" ht="16.2" thickBot="1" x14ac:dyDescent="0.35">
      <c r="A47" s="6" t="s">
        <v>30</v>
      </c>
      <c r="B47" s="44">
        <v>45994</v>
      </c>
      <c r="C47" s="1">
        <v>300</v>
      </c>
      <c r="D47" s="39" t="s">
        <v>31</v>
      </c>
      <c r="E47" s="17" t="s">
        <v>34</v>
      </c>
      <c r="F47" s="8"/>
      <c r="G47" s="5" t="s">
        <v>97</v>
      </c>
      <c r="H47" s="1">
        <v>0.86</v>
      </c>
      <c r="I47" s="1" t="s">
        <v>32</v>
      </c>
      <c r="J47" s="3">
        <v>14.79</v>
      </c>
      <c r="K47" s="10">
        <f>J47-6.51</f>
        <v>8.2799999999999994</v>
      </c>
      <c r="L47" s="9">
        <f>K47*H47</f>
        <v>7.1207999999999991</v>
      </c>
      <c r="M47" s="10">
        <f>L47/(275*2)*1000</f>
        <v>12.946909090909088</v>
      </c>
      <c r="N47" s="10"/>
      <c r="O47" s="10"/>
      <c r="P47" s="3">
        <v>209</v>
      </c>
      <c r="Q47" s="3">
        <v>208</v>
      </c>
      <c r="R47" s="3">
        <v>183</v>
      </c>
      <c r="S47" s="1">
        <v>162</v>
      </c>
      <c r="T47" s="1">
        <v>166</v>
      </c>
      <c r="U47" s="1">
        <v>170</v>
      </c>
      <c r="V47" s="11" cm="1">
        <f t="array" ref="V47">AVERAGE((P47:R47)-30.75)</f>
        <v>169.25</v>
      </c>
      <c r="W47" s="10">
        <f>V47/10000</f>
        <v>1.6924999999999999E-2</v>
      </c>
      <c r="X47" s="11">
        <f>AVERAGE(S47:U47)</f>
        <v>166</v>
      </c>
      <c r="Y47" s="10">
        <f>X47-30.75</f>
        <v>135.25</v>
      </c>
      <c r="Z47" s="9">
        <f>Y47/10000</f>
        <v>1.3525000000000001E-2</v>
      </c>
      <c r="AA47" s="9">
        <f>11*25*W47</f>
        <v>4.6543749999999999</v>
      </c>
      <c r="AB47" s="9">
        <f>11*25*Z47</f>
        <v>3.7193750000000003</v>
      </c>
      <c r="AC47" s="10">
        <f>K47/AA47</f>
        <v>1.7789713978783401</v>
      </c>
      <c r="AD47" s="10">
        <f>K47/AB47</f>
        <v>2.2261804738699373</v>
      </c>
      <c r="AE47" s="3"/>
      <c r="AF47" s="3">
        <v>4.6900000000000004</v>
      </c>
      <c r="AG47" s="3"/>
      <c r="AH47" s="10">
        <f>AVERAGE(AE47:AG47)</f>
        <v>4.6900000000000004</v>
      </c>
      <c r="AI47" s="3">
        <v>7.9</v>
      </c>
      <c r="AJ47" s="55"/>
      <c r="AK47" s="12"/>
      <c r="AL47" s="26"/>
      <c r="AM47" s="14"/>
    </row>
    <row r="48" spans="1:39" ht="16.2" thickBot="1" x14ac:dyDescent="0.35">
      <c r="A48" s="15" t="s">
        <v>30</v>
      </c>
      <c r="B48" s="44">
        <v>45994</v>
      </c>
      <c r="C48" s="1">
        <v>300</v>
      </c>
      <c r="D48" s="7" t="s">
        <v>31</v>
      </c>
      <c r="E48" s="17" t="s">
        <v>34</v>
      </c>
      <c r="F48" s="8"/>
      <c r="G48" s="5" t="s">
        <v>98</v>
      </c>
      <c r="H48" s="1">
        <v>0.86</v>
      </c>
      <c r="I48" s="1" t="s">
        <v>32</v>
      </c>
      <c r="J48" s="3">
        <v>14.89</v>
      </c>
      <c r="K48" s="10">
        <f>J48-6.51</f>
        <v>8.3800000000000008</v>
      </c>
      <c r="L48" s="9">
        <f>K48*H48</f>
        <v>7.2068000000000003</v>
      </c>
      <c r="M48" s="10">
        <f>L48/(275*2)*1000</f>
        <v>13.103272727272728</v>
      </c>
      <c r="N48" s="10"/>
      <c r="O48" s="10"/>
      <c r="P48" s="3">
        <v>192</v>
      </c>
      <c r="Q48" s="3">
        <v>198</v>
      </c>
      <c r="R48" s="3">
        <v>208</v>
      </c>
      <c r="S48" s="1">
        <v>161</v>
      </c>
      <c r="T48" s="1">
        <v>165</v>
      </c>
      <c r="U48" s="1">
        <v>167</v>
      </c>
      <c r="V48" s="11" cm="1">
        <f t="array" ref="V48">AVERAGE((P48:R48)-30.75)</f>
        <v>168.58333333333334</v>
      </c>
      <c r="W48" s="10">
        <f>V48/10000</f>
        <v>1.6858333333333333E-2</v>
      </c>
      <c r="X48" s="11">
        <f>AVERAGE(S48:U48)</f>
        <v>164.33333333333334</v>
      </c>
      <c r="Y48" s="10">
        <f>X48-30.75</f>
        <v>133.58333333333334</v>
      </c>
      <c r="Z48" s="9">
        <f>Y48/10000</f>
        <v>1.3358333333333335E-2</v>
      </c>
      <c r="AA48" s="9">
        <f>11*25*W48</f>
        <v>4.6360416666666664</v>
      </c>
      <c r="AB48" s="9">
        <f>11*25*Z48</f>
        <v>3.6735416666666669</v>
      </c>
      <c r="AC48" s="10">
        <f>K48/AA48</f>
        <v>1.8075765065384446</v>
      </c>
      <c r="AD48" s="10">
        <f>K48/AB48</f>
        <v>2.2811773379458971</v>
      </c>
      <c r="AE48" s="3"/>
      <c r="AF48" s="3">
        <v>4.71</v>
      </c>
      <c r="AG48" s="3"/>
      <c r="AH48" s="10">
        <f>AVERAGE(AE48:AG48)</f>
        <v>4.71</v>
      </c>
      <c r="AI48" s="3">
        <v>7.92</v>
      </c>
      <c r="AJ48" s="55"/>
      <c r="AK48" s="12"/>
      <c r="AL48" s="26"/>
      <c r="AM48" s="14"/>
    </row>
    <row r="49" spans="1:39" ht="15.6" x14ac:dyDescent="0.3">
      <c r="A49" s="6" t="s">
        <v>30</v>
      </c>
      <c r="B49" s="44">
        <v>45994</v>
      </c>
      <c r="C49" s="1">
        <v>300</v>
      </c>
      <c r="D49" s="7" t="s">
        <v>31</v>
      </c>
      <c r="E49" s="17" t="s">
        <v>34</v>
      </c>
      <c r="F49" s="8"/>
      <c r="G49" s="5" t="s">
        <v>99</v>
      </c>
      <c r="H49" s="1">
        <v>0.86</v>
      </c>
      <c r="I49" s="1" t="s">
        <v>32</v>
      </c>
      <c r="J49" s="3">
        <v>15.58</v>
      </c>
      <c r="K49" s="10">
        <f>J49-6.51</f>
        <v>9.07</v>
      </c>
      <c r="L49" s="9">
        <f>K49*H49</f>
        <v>7.8002000000000002</v>
      </c>
      <c r="M49" s="10">
        <f>L49/(275*2)*1000</f>
        <v>14.182181818181819</v>
      </c>
      <c r="N49" s="10"/>
      <c r="O49" s="10"/>
      <c r="P49" s="3">
        <v>221</v>
      </c>
      <c r="Q49" s="3">
        <v>205</v>
      </c>
      <c r="R49" s="3">
        <v>203</v>
      </c>
      <c r="S49" s="1">
        <v>175</v>
      </c>
      <c r="T49" s="1">
        <v>166</v>
      </c>
      <c r="U49" s="1">
        <v>169</v>
      </c>
      <c r="V49" s="11" cm="1">
        <f t="array" ref="V49">AVERAGE((P49:R49)-30.75)</f>
        <v>178.91666666666666</v>
      </c>
      <c r="W49" s="10">
        <f>V49/10000</f>
        <v>1.7891666666666667E-2</v>
      </c>
      <c r="X49" s="11">
        <f>AVERAGE(S49:U49)</f>
        <v>170</v>
      </c>
      <c r="Y49" s="10">
        <f>X49-30.75</f>
        <v>139.25</v>
      </c>
      <c r="Z49" s="9">
        <f>Y49/10000</f>
        <v>1.3925E-2</v>
      </c>
      <c r="AA49" s="9">
        <f>11*25*W49</f>
        <v>4.9202083333333331</v>
      </c>
      <c r="AB49" s="9">
        <f>11*25*Z49</f>
        <v>3.8293749999999998</v>
      </c>
      <c r="AC49" s="10">
        <f>K49/AA49</f>
        <v>1.8434178769530425</v>
      </c>
      <c r="AD49" s="10">
        <f>K49/AB49</f>
        <v>2.3685327240084875</v>
      </c>
      <c r="AE49" s="3"/>
      <c r="AF49" s="3">
        <v>4.29</v>
      </c>
      <c r="AG49" s="3"/>
      <c r="AH49" s="10">
        <f>AVERAGE(AE49:AG49)</f>
        <v>4.29</v>
      </c>
      <c r="AI49" s="3">
        <v>7.35</v>
      </c>
      <c r="AJ49" s="55"/>
      <c r="AK49" s="12"/>
      <c r="AL49" s="26"/>
      <c r="AM49" s="14"/>
    </row>
    <row r="50" spans="1:39" ht="47.4" thickBot="1" x14ac:dyDescent="0.35">
      <c r="A50" s="34" t="s">
        <v>61</v>
      </c>
      <c r="B50" s="42">
        <v>45995</v>
      </c>
      <c r="C50" s="34">
        <v>300</v>
      </c>
      <c r="D50" s="34" t="s">
        <v>31</v>
      </c>
      <c r="E50" s="34" t="s">
        <v>33</v>
      </c>
      <c r="F50" s="52" t="s">
        <v>100</v>
      </c>
      <c r="G50" s="38" t="s">
        <v>124</v>
      </c>
      <c r="H50" s="28">
        <v>0.86</v>
      </c>
      <c r="I50" s="27"/>
      <c r="J50" s="29"/>
      <c r="K50" s="29"/>
      <c r="L50" s="30">
        <f>SUM(K45:K49)*H50</f>
        <v>37.444400000000002</v>
      </c>
      <c r="M50" s="29">
        <f>MIN(M45:M49)</f>
        <v>12.946909090909088</v>
      </c>
      <c r="N50" s="36">
        <v>375</v>
      </c>
      <c r="O50" s="29">
        <f>L50*N50/1000</f>
        <v>14.041650000000001</v>
      </c>
      <c r="P50" s="58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60"/>
      <c r="AJ50" s="31" t="s">
        <v>101</v>
      </c>
      <c r="AK50" s="32">
        <v>1.5643</v>
      </c>
      <c r="AL50" s="33" t="s">
        <v>102</v>
      </c>
      <c r="AM50" s="14"/>
    </row>
    <row r="51" spans="1:39" ht="15.75" customHeight="1" thickBot="1" x14ac:dyDescent="0.35">
      <c r="A51" s="15" t="s">
        <v>30</v>
      </c>
      <c r="B51" s="44">
        <v>45994</v>
      </c>
      <c r="C51" s="1">
        <v>300</v>
      </c>
      <c r="D51" s="7" t="s">
        <v>31</v>
      </c>
      <c r="E51" s="17" t="s">
        <v>34</v>
      </c>
      <c r="F51" s="18"/>
      <c r="G51" s="5" t="s">
        <v>103</v>
      </c>
      <c r="H51" s="16">
        <v>0.86</v>
      </c>
      <c r="I51" s="1" t="s">
        <v>32</v>
      </c>
      <c r="J51" s="19">
        <v>15.2</v>
      </c>
      <c r="K51" s="21">
        <f>J51-6.51</f>
        <v>8.69</v>
      </c>
      <c r="L51" s="20">
        <f>K51*H51</f>
        <v>7.4733999999999998</v>
      </c>
      <c r="M51" s="21">
        <f>L51/(275*2)*1000</f>
        <v>13.587999999999999</v>
      </c>
      <c r="N51" s="21"/>
      <c r="O51" s="21"/>
      <c r="P51" s="19">
        <v>196</v>
      </c>
      <c r="Q51" s="19">
        <v>204</v>
      </c>
      <c r="R51" s="19">
        <v>207</v>
      </c>
      <c r="S51" s="16">
        <v>169</v>
      </c>
      <c r="T51" s="16">
        <v>165</v>
      </c>
      <c r="U51" s="16">
        <v>162</v>
      </c>
      <c r="V51" s="22" cm="1">
        <f t="array" ref="V51">AVERAGE((P51:R51)-30.75)</f>
        <v>171.58333333333334</v>
      </c>
      <c r="W51" s="21">
        <f>V51/10000</f>
        <v>1.7158333333333334E-2</v>
      </c>
      <c r="X51" s="22">
        <f>AVERAGE(S51:U51)</f>
        <v>165.33333333333334</v>
      </c>
      <c r="Y51" s="21">
        <f>X51-30.75</f>
        <v>134.58333333333334</v>
      </c>
      <c r="Z51" s="20">
        <f>Y51/10000</f>
        <v>1.3458333333333334E-2</v>
      </c>
      <c r="AA51" s="20">
        <f>11*25*W51</f>
        <v>4.7185416666666669</v>
      </c>
      <c r="AB51" s="20">
        <f>11*25*Z51</f>
        <v>3.7010416666666668</v>
      </c>
      <c r="AC51" s="21">
        <f>K51/AA51</f>
        <v>1.8416707139388051</v>
      </c>
      <c r="AD51" s="21">
        <f>K51/AB51</f>
        <v>2.3479876160990711</v>
      </c>
      <c r="AE51" s="19"/>
      <c r="AF51" s="19">
        <v>4.25</v>
      </c>
      <c r="AG51" s="19"/>
      <c r="AH51" s="21">
        <f>AVERAGE(AE51:AG51)</f>
        <v>4.25</v>
      </c>
      <c r="AI51" s="19">
        <v>7.46</v>
      </c>
      <c r="AJ51" s="56"/>
      <c r="AK51" s="24"/>
      <c r="AL51" s="25"/>
      <c r="AM51" s="14"/>
    </row>
    <row r="52" spans="1:39" ht="16.2" thickBot="1" x14ac:dyDescent="0.35">
      <c r="A52" s="6" t="s">
        <v>30</v>
      </c>
      <c r="B52" s="44">
        <v>45994</v>
      </c>
      <c r="C52" s="1">
        <v>300</v>
      </c>
      <c r="D52" s="7" t="s">
        <v>31</v>
      </c>
      <c r="E52" s="17" t="s">
        <v>34</v>
      </c>
      <c r="F52" s="8"/>
      <c r="G52" s="5" t="s">
        <v>104</v>
      </c>
      <c r="H52" s="1">
        <v>0.86</v>
      </c>
      <c r="I52" s="1" t="s">
        <v>32</v>
      </c>
      <c r="J52" s="3">
        <v>16.53</v>
      </c>
      <c r="K52" s="10">
        <f>J52-6.51</f>
        <v>10.020000000000001</v>
      </c>
      <c r="L52" s="9">
        <f>K52*H52</f>
        <v>8.6172000000000004</v>
      </c>
      <c r="M52" s="10">
        <f>L52/(275*2)*1000</f>
        <v>15.667636363636364</v>
      </c>
      <c r="N52" s="10"/>
      <c r="O52" s="10"/>
      <c r="P52" s="3">
        <v>234</v>
      </c>
      <c r="Q52" s="3">
        <v>240</v>
      </c>
      <c r="R52" s="3">
        <v>240</v>
      </c>
      <c r="S52" s="1">
        <v>182</v>
      </c>
      <c r="T52" s="1">
        <v>174</v>
      </c>
      <c r="U52" s="1">
        <v>178</v>
      </c>
      <c r="V52" s="11" cm="1">
        <f t="array" ref="V52">AVERAGE((P52:R52)-30.75)</f>
        <v>207.25</v>
      </c>
      <c r="W52" s="10">
        <f>V52/10000</f>
        <v>2.0725E-2</v>
      </c>
      <c r="X52" s="11">
        <f>AVERAGE(S52:U52)</f>
        <v>178</v>
      </c>
      <c r="Y52" s="10">
        <f>X52-30.75</f>
        <v>147.25</v>
      </c>
      <c r="Z52" s="9">
        <f>Y52/10000</f>
        <v>1.4725E-2</v>
      </c>
      <c r="AA52" s="9">
        <f>11*25*W52</f>
        <v>5.6993749999999999</v>
      </c>
      <c r="AB52" s="9">
        <f>11*25*Z52</f>
        <v>4.0493750000000004</v>
      </c>
      <c r="AC52" s="10">
        <f>K52/AA52</f>
        <v>1.7580875095953505</v>
      </c>
      <c r="AD52" s="10">
        <f>K52/AB52</f>
        <v>2.4744559345578021</v>
      </c>
      <c r="AE52" s="3"/>
      <c r="AF52" s="3">
        <v>7.45</v>
      </c>
      <c r="AG52" s="3"/>
      <c r="AH52" s="10">
        <f>AVERAGE(AE52:AG52)</f>
        <v>7.45</v>
      </c>
      <c r="AI52" s="3">
        <v>12.27</v>
      </c>
      <c r="AJ52" s="55"/>
      <c r="AK52" s="12"/>
      <c r="AL52" s="26"/>
      <c r="AM52" s="14"/>
    </row>
    <row r="53" spans="1:39" ht="16.2" thickBot="1" x14ac:dyDescent="0.35">
      <c r="A53" s="6" t="s">
        <v>30</v>
      </c>
      <c r="B53" s="44">
        <v>45994</v>
      </c>
      <c r="C53" s="1">
        <v>300</v>
      </c>
      <c r="D53" s="7" t="s">
        <v>31</v>
      </c>
      <c r="E53" s="17" t="s">
        <v>34</v>
      </c>
      <c r="F53" s="8"/>
      <c r="G53" s="5" t="s">
        <v>105</v>
      </c>
      <c r="H53" s="1">
        <v>0.86</v>
      </c>
      <c r="I53" s="1" t="s">
        <v>32</v>
      </c>
      <c r="J53" s="3">
        <v>15.13</v>
      </c>
      <c r="K53" s="10">
        <f>J53-6.51</f>
        <v>8.620000000000001</v>
      </c>
      <c r="L53" s="9">
        <f>K53*H53</f>
        <v>7.4132000000000007</v>
      </c>
      <c r="M53" s="10">
        <f>L53/(275*2)*1000</f>
        <v>13.478545454545456</v>
      </c>
      <c r="N53" s="10"/>
      <c r="O53" s="10"/>
      <c r="P53" s="3">
        <v>206</v>
      </c>
      <c r="Q53" s="3">
        <v>217</v>
      </c>
      <c r="R53" s="3">
        <v>212</v>
      </c>
      <c r="S53" s="1">
        <v>167</v>
      </c>
      <c r="T53" s="1">
        <v>167</v>
      </c>
      <c r="U53" s="1">
        <v>166</v>
      </c>
      <c r="V53" s="11" cm="1">
        <f t="array" ref="V53">AVERAGE((P53:R53)-30.75)</f>
        <v>180.91666666666666</v>
      </c>
      <c r="W53" s="10">
        <f>V53/10000</f>
        <v>1.8091666666666666E-2</v>
      </c>
      <c r="X53" s="11">
        <f>AVERAGE(S53:U53)</f>
        <v>166.66666666666666</v>
      </c>
      <c r="Y53" s="10">
        <f>X53-30.75</f>
        <v>135.91666666666666</v>
      </c>
      <c r="Z53" s="9">
        <f>Y53/10000</f>
        <v>1.3591666666666665E-2</v>
      </c>
      <c r="AA53" s="9">
        <f>11*25*W53</f>
        <v>4.9752083333333328</v>
      </c>
      <c r="AB53" s="9">
        <f>11*25*Z53</f>
        <v>3.737708333333333</v>
      </c>
      <c r="AC53" s="10">
        <f>K53/AA53</f>
        <v>1.7325907625308827</v>
      </c>
      <c r="AD53" s="10">
        <f>K53/AB53</f>
        <v>2.3062259628783237</v>
      </c>
      <c r="AE53" s="3"/>
      <c r="AF53" s="3">
        <v>4.6399999999999997</v>
      </c>
      <c r="AG53" s="3"/>
      <c r="AH53" s="10">
        <f>AVERAGE(AE53:AG53)</f>
        <v>4.6399999999999997</v>
      </c>
      <c r="AI53" s="3">
        <v>7.88</v>
      </c>
      <c r="AJ53" s="55"/>
      <c r="AK53" s="12"/>
      <c r="AL53" s="26"/>
      <c r="AM53" s="14"/>
    </row>
    <row r="54" spans="1:39" ht="16.2" thickBot="1" x14ac:dyDescent="0.35">
      <c r="A54" s="15" t="s">
        <v>30</v>
      </c>
      <c r="B54" s="44">
        <v>45994</v>
      </c>
      <c r="C54" s="1">
        <v>300</v>
      </c>
      <c r="D54" s="7" t="s">
        <v>31</v>
      </c>
      <c r="E54" s="17" t="s">
        <v>34</v>
      </c>
      <c r="F54" s="8"/>
      <c r="G54" s="5" t="s">
        <v>106</v>
      </c>
      <c r="H54" s="1">
        <v>0.86</v>
      </c>
      <c r="I54" s="1" t="s">
        <v>32</v>
      </c>
      <c r="J54" s="3">
        <v>15.97</v>
      </c>
      <c r="K54" s="10">
        <f>J54-6.51</f>
        <v>9.4600000000000009</v>
      </c>
      <c r="L54" s="9">
        <f>K54*H54</f>
        <v>8.1356000000000002</v>
      </c>
      <c r="M54" s="10">
        <f>L54/(275*2)*1000</f>
        <v>14.792</v>
      </c>
      <c r="N54" s="10"/>
      <c r="O54" s="10"/>
      <c r="P54" s="3">
        <v>238</v>
      </c>
      <c r="Q54" s="3">
        <v>225</v>
      </c>
      <c r="R54" s="3">
        <v>229</v>
      </c>
      <c r="S54" s="1">
        <v>176</v>
      </c>
      <c r="T54" s="1">
        <v>175</v>
      </c>
      <c r="U54" s="1">
        <v>175</v>
      </c>
      <c r="V54" s="11" cm="1">
        <f t="array" ref="V54">AVERAGE((P54:R54)-30.75)</f>
        <v>199.91666666666666</v>
      </c>
      <c r="W54" s="10">
        <f>V54/10000</f>
        <v>1.9991666666666665E-2</v>
      </c>
      <c r="X54" s="11">
        <f>AVERAGE(S54:U54)</f>
        <v>175.33333333333334</v>
      </c>
      <c r="Y54" s="10">
        <f>X54-30.75</f>
        <v>144.58333333333334</v>
      </c>
      <c r="Z54" s="9">
        <f>Y54/10000</f>
        <v>1.4458333333333333E-2</v>
      </c>
      <c r="AA54" s="9">
        <f>11*25*W54</f>
        <v>5.4977083333333328</v>
      </c>
      <c r="AB54" s="9">
        <f>11*25*Z54</f>
        <v>3.9760416666666667</v>
      </c>
      <c r="AC54" s="10">
        <f>K54/AA54</f>
        <v>1.7207169654022512</v>
      </c>
      <c r="AD54" s="10">
        <f>K54/AB54</f>
        <v>2.3792507204610951</v>
      </c>
      <c r="AE54" s="3"/>
      <c r="AF54" s="3">
        <v>4.0599999999999996</v>
      </c>
      <c r="AG54" s="3"/>
      <c r="AH54" s="10">
        <f>AVERAGE(AE54:AG54)</f>
        <v>4.0599999999999996</v>
      </c>
      <c r="AI54" s="3">
        <v>7.6</v>
      </c>
      <c r="AJ54" s="55"/>
      <c r="AK54" s="12"/>
      <c r="AL54" s="26"/>
      <c r="AM54" s="14"/>
    </row>
    <row r="55" spans="1:39" ht="15.75" customHeight="1" x14ac:dyDescent="0.3">
      <c r="A55" s="6" t="s">
        <v>30</v>
      </c>
      <c r="B55" s="44">
        <v>45994</v>
      </c>
      <c r="C55" s="1">
        <v>300</v>
      </c>
      <c r="D55" s="7" t="s">
        <v>31</v>
      </c>
      <c r="E55" s="17" t="s">
        <v>34</v>
      </c>
      <c r="F55" s="8"/>
      <c r="G55" s="5" t="s">
        <v>107</v>
      </c>
      <c r="H55" s="1">
        <v>0.86</v>
      </c>
      <c r="I55" s="1" t="s">
        <v>32</v>
      </c>
      <c r="J55" s="3">
        <v>15.87</v>
      </c>
      <c r="K55" s="10">
        <f>J55-6.51</f>
        <v>9.36</v>
      </c>
      <c r="L55" s="9">
        <f>K55*H55</f>
        <v>8.0495999999999999</v>
      </c>
      <c r="M55" s="10">
        <f>L55/(275*2)*1000</f>
        <v>14.635636363636364</v>
      </c>
      <c r="N55" s="10"/>
      <c r="O55" s="10"/>
      <c r="P55" s="3">
        <v>218</v>
      </c>
      <c r="Q55" s="3">
        <v>221</v>
      </c>
      <c r="R55" s="3">
        <v>232</v>
      </c>
      <c r="S55" s="1">
        <v>172</v>
      </c>
      <c r="T55" s="1">
        <v>162</v>
      </c>
      <c r="U55" s="1">
        <v>168</v>
      </c>
      <c r="V55" s="11" cm="1">
        <f t="array" ref="V55">AVERAGE((P55:R55)-30.75)</f>
        <v>192.91666666666666</v>
      </c>
      <c r="W55" s="10">
        <f>V55/10000</f>
        <v>1.9291666666666665E-2</v>
      </c>
      <c r="X55" s="11">
        <f>AVERAGE(S55:U55)</f>
        <v>167.33333333333334</v>
      </c>
      <c r="Y55" s="10">
        <f>X55-30.75</f>
        <v>136.58333333333334</v>
      </c>
      <c r="Z55" s="9">
        <f>Y55/10000</f>
        <v>1.3658333333333335E-2</v>
      </c>
      <c r="AA55" s="9">
        <f>11*25*W55</f>
        <v>5.3052083333333329</v>
      </c>
      <c r="AB55" s="9">
        <f>11*25*Z55</f>
        <v>3.7560416666666669</v>
      </c>
      <c r="AC55" s="10">
        <f>K55/AA55</f>
        <v>1.7643039465933634</v>
      </c>
      <c r="AD55" s="10">
        <f>K55/AB55</f>
        <v>2.4919851350601805</v>
      </c>
      <c r="AE55" s="3"/>
      <c r="AF55" s="3">
        <v>4.12</v>
      </c>
      <c r="AG55" s="3"/>
      <c r="AH55" s="10">
        <f>AVERAGE(AE55:AG55)</f>
        <v>4.12</v>
      </c>
      <c r="AI55" s="3">
        <v>8.4700000000000006</v>
      </c>
      <c r="AJ55" s="55"/>
      <c r="AK55" s="12"/>
      <c r="AL55" s="26"/>
      <c r="AM55" s="14"/>
    </row>
    <row r="56" spans="1:39" ht="47.4" thickBot="1" x14ac:dyDescent="0.35">
      <c r="A56" s="34" t="s">
        <v>61</v>
      </c>
      <c r="B56" s="42">
        <v>45995</v>
      </c>
      <c r="C56" s="34">
        <v>300</v>
      </c>
      <c r="D56" s="34" t="s">
        <v>31</v>
      </c>
      <c r="E56" s="34" t="s">
        <v>33</v>
      </c>
      <c r="F56" s="52" t="s">
        <v>108</v>
      </c>
      <c r="G56" s="38" t="s">
        <v>125</v>
      </c>
      <c r="H56" s="28">
        <v>0.86</v>
      </c>
      <c r="I56" s="27"/>
      <c r="J56" s="29"/>
      <c r="K56" s="29"/>
      <c r="L56" s="30">
        <f>SUM(K51:K55)*H56</f>
        <v>39.689000000000007</v>
      </c>
      <c r="M56" s="29">
        <f>MIN(M51:M55)</f>
        <v>13.478545454545456</v>
      </c>
      <c r="N56" s="36">
        <v>375</v>
      </c>
      <c r="O56" s="29">
        <f>L56*N56/1000</f>
        <v>14.883375000000003</v>
      </c>
      <c r="P56" s="58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60"/>
      <c r="AJ56" s="31" t="s">
        <v>109</v>
      </c>
      <c r="AK56" s="32">
        <v>1.5659000000000001</v>
      </c>
      <c r="AL56" s="33" t="s">
        <v>102</v>
      </c>
      <c r="AM56" s="14"/>
    </row>
    <row r="57" spans="1:39" ht="16.2" thickBot="1" x14ac:dyDescent="0.35">
      <c r="A57" s="15" t="s">
        <v>30</v>
      </c>
      <c r="B57" s="44">
        <v>45994</v>
      </c>
      <c r="C57" s="1">
        <v>300</v>
      </c>
      <c r="D57" s="7" t="s">
        <v>31</v>
      </c>
      <c r="E57" s="17" t="s">
        <v>34</v>
      </c>
      <c r="F57" s="18"/>
      <c r="G57" s="5" t="s">
        <v>110</v>
      </c>
      <c r="H57" s="16">
        <v>0.86</v>
      </c>
      <c r="I57" s="1" t="s">
        <v>32</v>
      </c>
      <c r="J57" s="19">
        <v>15.44</v>
      </c>
      <c r="K57" s="21">
        <f>J57-6.51</f>
        <v>8.93</v>
      </c>
      <c r="L57" s="20">
        <f>K57*H57</f>
        <v>7.6797999999999993</v>
      </c>
      <c r="M57" s="21">
        <f>L57/(275*2)*1000</f>
        <v>13.963272727272726</v>
      </c>
      <c r="N57" s="21"/>
      <c r="O57" s="21"/>
      <c r="P57" s="19">
        <v>233</v>
      </c>
      <c r="Q57" s="19">
        <v>214</v>
      </c>
      <c r="R57" s="19">
        <v>215</v>
      </c>
      <c r="S57" s="16">
        <v>164</v>
      </c>
      <c r="T57" s="16">
        <v>166</v>
      </c>
      <c r="U57" s="16">
        <v>177</v>
      </c>
      <c r="V57" s="22" cm="1">
        <f t="array" ref="V57">AVERAGE((P57:R57)-30.75)</f>
        <v>189.91666666666666</v>
      </c>
      <c r="W57" s="21">
        <f>V57/10000</f>
        <v>1.8991666666666667E-2</v>
      </c>
      <c r="X57" s="22">
        <f>AVERAGE(S57:U57)</f>
        <v>169</v>
      </c>
      <c r="Y57" s="21">
        <f>X57-30.75</f>
        <v>138.25</v>
      </c>
      <c r="Z57" s="20">
        <f>Y57/10000</f>
        <v>1.3825E-2</v>
      </c>
      <c r="AA57" s="20">
        <f>11*25*W57</f>
        <v>5.2227083333333333</v>
      </c>
      <c r="AB57" s="20">
        <f>11*25*Z57</f>
        <v>3.8018750000000003</v>
      </c>
      <c r="AC57" s="21">
        <f>K57/AA57</f>
        <v>1.7098408392835773</v>
      </c>
      <c r="AD57" s="21">
        <f>K57/AB57</f>
        <v>2.3488410323853359</v>
      </c>
      <c r="AE57" s="19"/>
      <c r="AF57" s="19">
        <v>4.3499999999999996</v>
      </c>
      <c r="AG57" s="19"/>
      <c r="AH57" s="21">
        <f>AVERAGE(AE57:AG57)</f>
        <v>4.3499999999999996</v>
      </c>
      <c r="AI57" s="19">
        <v>8.66</v>
      </c>
      <c r="AJ57" s="56"/>
      <c r="AK57" s="24"/>
      <c r="AL57" s="25"/>
      <c r="AM57" s="14"/>
    </row>
    <row r="58" spans="1:39" ht="16.2" thickBot="1" x14ac:dyDescent="0.35">
      <c r="A58" s="6" t="s">
        <v>30</v>
      </c>
      <c r="B58" s="44">
        <v>45994</v>
      </c>
      <c r="C58" s="1">
        <v>300</v>
      </c>
      <c r="D58" s="7" t="s">
        <v>31</v>
      </c>
      <c r="E58" s="17" t="s">
        <v>34</v>
      </c>
      <c r="F58" s="8"/>
      <c r="G58" s="5" t="s">
        <v>111</v>
      </c>
      <c r="H58" s="1">
        <v>0.86</v>
      </c>
      <c r="I58" s="1" t="s">
        <v>32</v>
      </c>
      <c r="J58" s="3">
        <v>15.53</v>
      </c>
      <c r="K58" s="10">
        <f>J58-6.51</f>
        <v>9.02</v>
      </c>
      <c r="L58" s="9">
        <f>K58*H58</f>
        <v>7.7571999999999992</v>
      </c>
      <c r="M58" s="10">
        <f>L58/(275*2)*1000</f>
        <v>14.103999999999999</v>
      </c>
      <c r="N58" s="10"/>
      <c r="O58" s="10"/>
      <c r="P58" s="3">
        <v>213</v>
      </c>
      <c r="Q58" s="3">
        <v>221</v>
      </c>
      <c r="R58" s="3">
        <v>217</v>
      </c>
      <c r="S58" s="1">
        <v>169</v>
      </c>
      <c r="T58" s="1">
        <v>168</v>
      </c>
      <c r="U58" s="1">
        <v>164</v>
      </c>
      <c r="V58" s="11" cm="1">
        <f t="array" ref="V58">AVERAGE((P58:R58)-30.75)</f>
        <v>186.25</v>
      </c>
      <c r="W58" s="10">
        <f>V58/10000</f>
        <v>1.8624999999999999E-2</v>
      </c>
      <c r="X58" s="11">
        <f>AVERAGE(S58:U58)</f>
        <v>167</v>
      </c>
      <c r="Y58" s="10">
        <f>X58-30.75</f>
        <v>136.25</v>
      </c>
      <c r="Z58" s="9">
        <f>Y58/10000</f>
        <v>1.3625E-2</v>
      </c>
      <c r="AA58" s="9">
        <f>11*25*W58</f>
        <v>5.1218750000000002</v>
      </c>
      <c r="AB58" s="9">
        <f>11*25*Z58</f>
        <v>3.7468750000000002</v>
      </c>
      <c r="AC58" s="10">
        <f>K58/AA58</f>
        <v>1.7610738255033556</v>
      </c>
      <c r="AD58" s="10">
        <f>K58/AB58</f>
        <v>2.4073394495412841</v>
      </c>
      <c r="AE58" s="3"/>
      <c r="AF58" s="3">
        <v>8.93</v>
      </c>
      <c r="AG58" s="3"/>
      <c r="AH58" s="10">
        <f>AVERAGE(AE58:AG58)</f>
        <v>8.93</v>
      </c>
      <c r="AI58" s="3">
        <v>14.56</v>
      </c>
      <c r="AJ58" s="55"/>
      <c r="AK58" s="12"/>
      <c r="AL58" s="26"/>
      <c r="AM58" s="14"/>
    </row>
    <row r="59" spans="1:39" ht="15.75" customHeight="1" thickBot="1" x14ac:dyDescent="0.35">
      <c r="A59" s="6" t="s">
        <v>30</v>
      </c>
      <c r="B59" s="44">
        <v>45994</v>
      </c>
      <c r="C59" s="1">
        <v>300</v>
      </c>
      <c r="D59" s="7" t="s">
        <v>31</v>
      </c>
      <c r="E59" s="17" t="s">
        <v>34</v>
      </c>
      <c r="F59" s="8"/>
      <c r="G59" s="5" t="s">
        <v>112</v>
      </c>
      <c r="H59" s="1">
        <v>0.86</v>
      </c>
      <c r="I59" s="1" t="s">
        <v>32</v>
      </c>
      <c r="J59" s="3">
        <v>15.26</v>
      </c>
      <c r="K59" s="10">
        <f>J59-6.51</f>
        <v>8.75</v>
      </c>
      <c r="L59" s="9">
        <f>K59*H59</f>
        <v>7.5249999999999995</v>
      </c>
      <c r="M59" s="10">
        <f>L59/(275*2)*1000</f>
        <v>13.68181818181818</v>
      </c>
      <c r="N59" s="10"/>
      <c r="O59" s="10"/>
      <c r="P59" s="3">
        <v>202</v>
      </c>
      <c r="Q59" s="3">
        <v>213</v>
      </c>
      <c r="R59" s="3">
        <v>196</v>
      </c>
      <c r="S59" s="1">
        <v>159</v>
      </c>
      <c r="T59" s="1">
        <v>166</v>
      </c>
      <c r="U59" s="1">
        <v>157</v>
      </c>
      <c r="V59" s="11" cm="1">
        <f t="array" ref="V59">AVERAGE((P59:R59)-30.75)</f>
        <v>172.91666666666666</v>
      </c>
      <c r="W59" s="10">
        <f>V59/10000</f>
        <v>1.7291666666666667E-2</v>
      </c>
      <c r="X59" s="11">
        <f>AVERAGE(S59:U59)</f>
        <v>160.66666666666666</v>
      </c>
      <c r="Y59" s="10">
        <f>X59-30.75</f>
        <v>129.91666666666666</v>
      </c>
      <c r="Z59" s="9">
        <f>Y59/10000</f>
        <v>1.2991666666666665E-2</v>
      </c>
      <c r="AA59" s="9">
        <f>11*25*W59</f>
        <v>4.755208333333333</v>
      </c>
      <c r="AB59" s="9">
        <f>11*25*Z59</f>
        <v>3.5727083333333329</v>
      </c>
      <c r="AC59" s="10">
        <f>K59/AA59</f>
        <v>1.8400876232201535</v>
      </c>
      <c r="AD59" s="10">
        <f>K59/AB59</f>
        <v>2.4491223978074528</v>
      </c>
      <c r="AE59" s="3"/>
      <c r="AF59" s="3">
        <v>9.11</v>
      </c>
      <c r="AG59" s="3"/>
      <c r="AH59" s="10">
        <f>AVERAGE(AE59:AG59)</f>
        <v>9.11</v>
      </c>
      <c r="AI59" s="3">
        <v>13.02</v>
      </c>
      <c r="AJ59" s="55"/>
      <c r="AK59" s="12"/>
      <c r="AL59" s="26"/>
      <c r="AM59" s="14"/>
    </row>
    <row r="60" spans="1:39" ht="16.2" thickBot="1" x14ac:dyDescent="0.35">
      <c r="A60" s="15" t="s">
        <v>30</v>
      </c>
      <c r="B60" s="44">
        <v>45994</v>
      </c>
      <c r="C60" s="1">
        <v>300</v>
      </c>
      <c r="D60" s="7" t="s">
        <v>31</v>
      </c>
      <c r="E60" s="17" t="s">
        <v>34</v>
      </c>
      <c r="F60" s="8"/>
      <c r="G60" s="5" t="s">
        <v>113</v>
      </c>
      <c r="H60" s="1">
        <v>0.86</v>
      </c>
      <c r="I60" s="1" t="s">
        <v>32</v>
      </c>
      <c r="J60" s="3">
        <v>15.06</v>
      </c>
      <c r="K60" s="10">
        <f>J60-6.51</f>
        <v>8.5500000000000007</v>
      </c>
      <c r="L60" s="9">
        <f>K60*H60</f>
        <v>7.3530000000000006</v>
      </c>
      <c r="M60" s="10">
        <f>L60/(275*2)*1000</f>
        <v>13.369090909090911</v>
      </c>
      <c r="N60" s="10"/>
      <c r="O60" s="10"/>
      <c r="P60" s="3">
        <v>197</v>
      </c>
      <c r="Q60" s="3">
        <v>216</v>
      </c>
      <c r="R60" s="3">
        <v>208</v>
      </c>
      <c r="S60" s="1">
        <v>159</v>
      </c>
      <c r="T60" s="1">
        <v>158</v>
      </c>
      <c r="U60" s="1">
        <v>158</v>
      </c>
      <c r="V60" s="11" cm="1">
        <f t="array" ref="V60">AVERAGE((P60:R60)-30.75)</f>
        <v>176.25</v>
      </c>
      <c r="W60" s="10">
        <f>V60/10000</f>
        <v>1.7624999999999998E-2</v>
      </c>
      <c r="X60" s="11">
        <f>AVERAGE(S60:U60)</f>
        <v>158.33333333333334</v>
      </c>
      <c r="Y60" s="10">
        <f>X60-30.75</f>
        <v>127.58333333333334</v>
      </c>
      <c r="Z60" s="9">
        <f>Y60/10000</f>
        <v>1.2758333333333335E-2</v>
      </c>
      <c r="AA60" s="9">
        <f>11*25*W60</f>
        <v>4.8468749999999998</v>
      </c>
      <c r="AB60" s="9">
        <f>11*25*Z60</f>
        <v>3.5085416666666673</v>
      </c>
      <c r="AC60" s="10">
        <f>K60/AA60</f>
        <v>1.7640232108317218</v>
      </c>
      <c r="AD60" s="10">
        <f>K60/AB60</f>
        <v>2.436909922213645</v>
      </c>
      <c r="AE60" s="3"/>
      <c r="AF60" s="3">
        <v>8.49</v>
      </c>
      <c r="AG60" s="3"/>
      <c r="AH60" s="10">
        <f>AVERAGE(AE60:AG60)</f>
        <v>8.49</v>
      </c>
      <c r="AI60" s="3">
        <v>12.52</v>
      </c>
      <c r="AJ60" s="55"/>
      <c r="AK60" s="12"/>
      <c r="AL60" s="26"/>
      <c r="AM60" s="14"/>
    </row>
    <row r="61" spans="1:39" ht="15.75" customHeight="1" x14ac:dyDescent="0.3">
      <c r="A61" s="6" t="s">
        <v>30</v>
      </c>
      <c r="B61" s="44">
        <v>45994</v>
      </c>
      <c r="C61" s="1">
        <v>300</v>
      </c>
      <c r="D61" s="7" t="s">
        <v>31</v>
      </c>
      <c r="E61" s="17" t="s">
        <v>34</v>
      </c>
      <c r="F61" s="8"/>
      <c r="G61" s="5" t="s">
        <v>114</v>
      </c>
      <c r="H61" s="1">
        <v>0.86</v>
      </c>
      <c r="I61" s="1" t="s">
        <v>32</v>
      </c>
      <c r="J61" s="3">
        <v>15.28</v>
      </c>
      <c r="K61" s="10">
        <f>J61-6.51</f>
        <v>8.77</v>
      </c>
      <c r="L61" s="9">
        <f>K61*H61</f>
        <v>7.5421999999999993</v>
      </c>
      <c r="M61" s="10">
        <f>L61/(275*2)*1000</f>
        <v>13.713090909090907</v>
      </c>
      <c r="N61" s="10"/>
      <c r="O61" s="10"/>
      <c r="P61" s="3">
        <v>206</v>
      </c>
      <c r="Q61" s="3">
        <v>215</v>
      </c>
      <c r="R61" s="3">
        <v>207</v>
      </c>
      <c r="S61" s="1">
        <v>166</v>
      </c>
      <c r="T61" s="1">
        <v>159</v>
      </c>
      <c r="U61" s="1">
        <v>159</v>
      </c>
      <c r="V61" s="11" cm="1">
        <f t="array" ref="V61">AVERAGE((P61:R61)-30.75)</f>
        <v>178.58333333333334</v>
      </c>
      <c r="W61" s="10">
        <f>V61/10000</f>
        <v>1.7858333333333334E-2</v>
      </c>
      <c r="X61" s="11">
        <f>AVERAGE(S61:U61)</f>
        <v>161.33333333333334</v>
      </c>
      <c r="Y61" s="10">
        <f>X61-30.75</f>
        <v>130.58333333333334</v>
      </c>
      <c r="Z61" s="9">
        <f>Y61/10000</f>
        <v>1.3058333333333335E-2</v>
      </c>
      <c r="AA61" s="9">
        <f>11*25*W61</f>
        <v>4.9110416666666667</v>
      </c>
      <c r="AB61" s="9">
        <f>11*25*Z61</f>
        <v>3.5910416666666669</v>
      </c>
      <c r="AC61" s="10">
        <f>K61/AA61</f>
        <v>1.7857718576337334</v>
      </c>
      <c r="AD61" s="10">
        <f>K61/AB61</f>
        <v>2.4421883158322211</v>
      </c>
      <c r="AE61" s="3"/>
      <c r="AF61" s="3">
        <v>4.5</v>
      </c>
      <c r="AG61" s="3"/>
      <c r="AH61" s="10">
        <f>AVERAGE(AE61:AG61)</f>
        <v>4.5</v>
      </c>
      <c r="AI61" s="3">
        <v>7.86</v>
      </c>
      <c r="AJ61" s="55"/>
      <c r="AK61" s="12"/>
      <c r="AL61" s="26"/>
      <c r="AM61" s="14"/>
    </row>
    <row r="62" spans="1:39" ht="47.4" thickBot="1" x14ac:dyDescent="0.35">
      <c r="A62" s="34" t="s">
        <v>61</v>
      </c>
      <c r="B62" s="42">
        <v>45995</v>
      </c>
      <c r="C62" s="34">
        <v>300</v>
      </c>
      <c r="D62" s="34" t="s">
        <v>31</v>
      </c>
      <c r="E62" s="34" t="s">
        <v>33</v>
      </c>
      <c r="F62" s="52" t="s">
        <v>115</v>
      </c>
      <c r="G62" s="38" t="s">
        <v>126</v>
      </c>
      <c r="H62" s="28">
        <v>0.86</v>
      </c>
      <c r="I62" s="27"/>
      <c r="J62" s="29"/>
      <c r="K62" s="29"/>
      <c r="L62" s="30">
        <f>SUM(K57:K61)*H62</f>
        <v>37.857199999999999</v>
      </c>
      <c r="M62" s="29">
        <f>MIN(M57:M61)</f>
        <v>13.369090909090911</v>
      </c>
      <c r="N62" s="36">
        <v>200</v>
      </c>
      <c r="O62" s="29">
        <f>L62*N62/1000</f>
        <v>7.5714399999999999</v>
      </c>
      <c r="P62" s="58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60"/>
      <c r="AJ62" s="31" t="s">
        <v>116</v>
      </c>
      <c r="AK62" s="32">
        <v>1.5646</v>
      </c>
      <c r="AL62" s="33" t="s">
        <v>102</v>
      </c>
      <c r="AM62" s="14"/>
    </row>
    <row r="63" spans="1:39" ht="16.2" thickBot="1" x14ac:dyDescent="0.35">
      <c r="A63" s="15" t="s">
        <v>30</v>
      </c>
      <c r="B63" s="44">
        <v>45994</v>
      </c>
      <c r="C63" s="1">
        <v>300</v>
      </c>
      <c r="D63" s="7" t="s">
        <v>31</v>
      </c>
      <c r="E63" s="17" t="s">
        <v>34</v>
      </c>
      <c r="F63" s="18"/>
      <c r="G63" s="5" t="s">
        <v>117</v>
      </c>
      <c r="H63" s="16">
        <v>0.86</v>
      </c>
      <c r="I63" s="1" t="s">
        <v>32</v>
      </c>
      <c r="J63" s="19">
        <v>15.61</v>
      </c>
      <c r="K63" s="21">
        <f>J63-6.51</f>
        <v>9.1</v>
      </c>
      <c r="L63" s="20">
        <f>K63*H63</f>
        <v>7.8259999999999996</v>
      </c>
      <c r="M63" s="21">
        <f>L63/(275*2)*1000</f>
        <v>14.229090909090909</v>
      </c>
      <c r="N63" s="21"/>
      <c r="O63" s="21"/>
      <c r="P63" s="19">
        <v>209</v>
      </c>
      <c r="Q63" s="19">
        <v>214</v>
      </c>
      <c r="R63" s="19">
        <v>218</v>
      </c>
      <c r="S63" s="16">
        <v>168</v>
      </c>
      <c r="T63" s="16">
        <v>162</v>
      </c>
      <c r="U63" s="16">
        <v>166</v>
      </c>
      <c r="V63" s="22" cm="1">
        <f t="array" ref="V63">AVERAGE((P63:R63)-30.75)</f>
        <v>182.91666666666666</v>
      </c>
      <c r="W63" s="21">
        <f>V63/10000</f>
        <v>1.8291666666666664E-2</v>
      </c>
      <c r="X63" s="22">
        <f>AVERAGE(S63:U63)</f>
        <v>165.33333333333334</v>
      </c>
      <c r="Y63" s="21">
        <f>X63-30.75</f>
        <v>134.58333333333334</v>
      </c>
      <c r="Z63" s="20">
        <f>Y63/10000</f>
        <v>1.3458333333333334E-2</v>
      </c>
      <c r="AA63" s="20">
        <f>11*25*W63</f>
        <v>5.0302083333333325</v>
      </c>
      <c r="AB63" s="20">
        <f>11*25*Z63</f>
        <v>3.7010416666666668</v>
      </c>
      <c r="AC63" s="21">
        <f>K63/AA63</f>
        <v>1.8090702008697455</v>
      </c>
      <c r="AD63" s="21">
        <f>K63/AB63</f>
        <v>2.4587672389529973</v>
      </c>
      <c r="AE63" s="19"/>
      <c r="AF63" s="19">
        <v>4.22</v>
      </c>
      <c r="AG63" s="19"/>
      <c r="AH63" s="21">
        <f>AVERAGE(AE63:AG63)</f>
        <v>4.22</v>
      </c>
      <c r="AI63" s="19">
        <v>8.01</v>
      </c>
      <c r="AJ63" s="56"/>
      <c r="AK63" s="24"/>
      <c r="AL63" s="25"/>
      <c r="AM63" s="14"/>
    </row>
    <row r="64" spans="1:39" ht="16.2" thickBot="1" x14ac:dyDescent="0.35">
      <c r="A64" s="6" t="s">
        <v>30</v>
      </c>
      <c r="B64" s="44">
        <v>45994</v>
      </c>
      <c r="C64" s="1">
        <v>300</v>
      </c>
      <c r="D64" s="7" t="s">
        <v>31</v>
      </c>
      <c r="E64" s="17" t="s">
        <v>34</v>
      </c>
      <c r="F64" s="8"/>
      <c r="G64" s="5" t="s">
        <v>118</v>
      </c>
      <c r="H64" s="1">
        <v>0.86</v>
      </c>
      <c r="I64" s="1" t="s">
        <v>32</v>
      </c>
      <c r="J64" s="3">
        <v>15.44</v>
      </c>
      <c r="K64" s="10">
        <f>J64-6.51</f>
        <v>8.93</v>
      </c>
      <c r="L64" s="9">
        <f>K64*H64</f>
        <v>7.6797999999999993</v>
      </c>
      <c r="M64" s="10">
        <f>L64/(275*2)*1000</f>
        <v>13.963272727272726</v>
      </c>
      <c r="N64" s="10"/>
      <c r="O64" s="10"/>
      <c r="P64" s="3">
        <v>209</v>
      </c>
      <c r="Q64" s="3">
        <v>207</v>
      </c>
      <c r="R64" s="3">
        <v>212</v>
      </c>
      <c r="S64" s="1">
        <v>169</v>
      </c>
      <c r="T64" s="1">
        <v>159</v>
      </c>
      <c r="U64" s="1">
        <v>161</v>
      </c>
      <c r="V64" s="11" cm="1">
        <f t="array" ref="V64">AVERAGE((P64:R64)-30.75)</f>
        <v>178.58333333333334</v>
      </c>
      <c r="W64" s="10">
        <f>V64/10000</f>
        <v>1.7858333333333334E-2</v>
      </c>
      <c r="X64" s="11">
        <f>AVERAGE(S64:U64)</f>
        <v>163</v>
      </c>
      <c r="Y64" s="10">
        <f>X64-30.75</f>
        <v>132.25</v>
      </c>
      <c r="Z64" s="9">
        <f>Y64/10000</f>
        <v>1.3225000000000001E-2</v>
      </c>
      <c r="AA64" s="9">
        <f>11*25*W64</f>
        <v>4.9110416666666667</v>
      </c>
      <c r="AB64" s="9">
        <f>11*25*Z64</f>
        <v>3.6368750000000003</v>
      </c>
      <c r="AC64" s="10">
        <f>K64/AA64</f>
        <v>1.818351503839138</v>
      </c>
      <c r="AD64" s="10">
        <f>K64/AB64</f>
        <v>2.455404708712837</v>
      </c>
      <c r="AE64" s="3"/>
      <c r="AF64" s="3">
        <v>8.11</v>
      </c>
      <c r="AG64" s="3"/>
      <c r="AH64" s="10">
        <f>AVERAGE(AE64:AG64)</f>
        <v>8.11</v>
      </c>
      <c r="AI64" s="3">
        <v>13.14</v>
      </c>
      <c r="AJ64" s="13"/>
      <c r="AK64" s="12"/>
      <c r="AL64" s="26"/>
      <c r="AM64" s="14"/>
    </row>
    <row r="65" spans="1:39" ht="15.75" customHeight="1" thickBot="1" x14ac:dyDescent="0.35">
      <c r="A65" s="6" t="s">
        <v>30</v>
      </c>
      <c r="B65" s="44">
        <v>45994</v>
      </c>
      <c r="C65" s="1">
        <v>300</v>
      </c>
      <c r="D65" s="7" t="s">
        <v>31</v>
      </c>
      <c r="E65" s="17" t="s">
        <v>34</v>
      </c>
      <c r="F65" s="8"/>
      <c r="G65" s="5" t="s">
        <v>119</v>
      </c>
      <c r="H65" s="1">
        <v>0.86</v>
      </c>
      <c r="I65" s="1" t="s">
        <v>32</v>
      </c>
      <c r="J65" s="3">
        <v>15.7</v>
      </c>
      <c r="K65" s="10">
        <f>J65-6.51</f>
        <v>9.19</v>
      </c>
      <c r="L65" s="9">
        <f>K65*H65</f>
        <v>7.9033999999999995</v>
      </c>
      <c r="M65" s="10">
        <f>L65/(275*2)*1000</f>
        <v>14.369818181818182</v>
      </c>
      <c r="N65" s="10"/>
      <c r="O65" s="10"/>
      <c r="P65" s="3">
        <v>211</v>
      </c>
      <c r="Q65" s="3">
        <v>210</v>
      </c>
      <c r="R65" s="3">
        <v>228</v>
      </c>
      <c r="S65" s="1">
        <v>169</v>
      </c>
      <c r="T65" s="1">
        <v>171</v>
      </c>
      <c r="U65" s="1">
        <v>168</v>
      </c>
      <c r="V65" s="11" cm="1">
        <f t="array" ref="V65">AVERAGE((P65:R65)-30.75)</f>
        <v>185.58333333333334</v>
      </c>
      <c r="W65" s="10">
        <f>V65/10000</f>
        <v>1.8558333333333333E-2</v>
      </c>
      <c r="X65" s="11">
        <f>AVERAGE(S65:U65)</f>
        <v>169.33333333333334</v>
      </c>
      <c r="Y65" s="10">
        <f>X65-30.75</f>
        <v>138.58333333333334</v>
      </c>
      <c r="Z65" s="9">
        <f>Y65/10000</f>
        <v>1.3858333333333334E-2</v>
      </c>
      <c r="AA65" s="9">
        <f>11*25*W65</f>
        <v>5.1035416666666666</v>
      </c>
      <c r="AB65" s="9">
        <f>11*25*Z65</f>
        <v>3.8110416666666667</v>
      </c>
      <c r="AC65" s="10">
        <f>K65/AA65</f>
        <v>1.8007102910560475</v>
      </c>
      <c r="AD65" s="10">
        <f>K65/AB65</f>
        <v>2.4114142021538294</v>
      </c>
      <c r="AE65" s="3"/>
      <c r="AF65" s="3">
        <v>4.1399999999999997</v>
      </c>
      <c r="AG65" s="3"/>
      <c r="AH65" s="10">
        <f>AVERAGE(AE65:AG65)</f>
        <v>4.1399999999999997</v>
      </c>
      <c r="AI65" s="3">
        <v>9.2100000000000009</v>
      </c>
      <c r="AJ65" s="13"/>
      <c r="AK65" s="12"/>
      <c r="AL65" s="26"/>
      <c r="AM65" s="14"/>
    </row>
    <row r="66" spans="1:39" ht="16.2" thickBot="1" x14ac:dyDescent="0.35">
      <c r="A66" s="15" t="s">
        <v>30</v>
      </c>
      <c r="B66" s="44">
        <v>45994</v>
      </c>
      <c r="C66" s="1">
        <v>300</v>
      </c>
      <c r="D66" s="7" t="s">
        <v>31</v>
      </c>
      <c r="E66" s="17" t="s">
        <v>34</v>
      </c>
      <c r="F66" s="8"/>
      <c r="G66" s="5" t="s">
        <v>120</v>
      </c>
      <c r="H66" s="1">
        <v>0.86</v>
      </c>
      <c r="I66" s="1" t="s">
        <v>32</v>
      </c>
      <c r="J66" s="3">
        <v>15.06</v>
      </c>
      <c r="K66" s="10">
        <f>J66-6.51</f>
        <v>8.5500000000000007</v>
      </c>
      <c r="L66" s="9">
        <f>K66*H66</f>
        <v>7.3530000000000006</v>
      </c>
      <c r="M66" s="10">
        <f>L66/(275*2)*1000</f>
        <v>13.369090909090911</v>
      </c>
      <c r="N66" s="10"/>
      <c r="O66" s="10"/>
      <c r="P66" s="3">
        <v>206</v>
      </c>
      <c r="Q66" s="3">
        <v>202</v>
      </c>
      <c r="R66" s="3">
        <v>206</v>
      </c>
      <c r="S66" s="1">
        <v>151</v>
      </c>
      <c r="T66" s="1">
        <v>150</v>
      </c>
      <c r="U66" s="1">
        <v>163</v>
      </c>
      <c r="V66" s="11" cm="1">
        <f t="array" ref="V66">AVERAGE((P66:R66)-30.75)</f>
        <v>173.91666666666666</v>
      </c>
      <c r="W66" s="10">
        <f>V66/10000</f>
        <v>1.7391666666666666E-2</v>
      </c>
      <c r="X66" s="11">
        <f>AVERAGE(S66:U66)</f>
        <v>154.66666666666666</v>
      </c>
      <c r="Y66" s="10">
        <f>X66-30.75</f>
        <v>123.91666666666666</v>
      </c>
      <c r="Z66" s="9">
        <f>Y66/10000</f>
        <v>1.2391666666666665E-2</v>
      </c>
      <c r="AA66" s="9">
        <f>11*25*W66</f>
        <v>4.7827083333333329</v>
      </c>
      <c r="AB66" s="9">
        <f>11*25*Z66</f>
        <v>3.4077083333333329</v>
      </c>
      <c r="AC66" s="10">
        <f>K66/AA66</f>
        <v>1.7876900291849984</v>
      </c>
      <c r="AD66" s="10">
        <f>K66/AB66</f>
        <v>2.509017546004769</v>
      </c>
      <c r="AE66" s="3"/>
      <c r="AF66" s="3">
        <v>8.5299999999999994</v>
      </c>
      <c r="AG66" s="3"/>
      <c r="AH66" s="10">
        <f>AVERAGE(AE66:AG66)</f>
        <v>8.5299999999999994</v>
      </c>
      <c r="AI66" s="3">
        <v>13.03</v>
      </c>
      <c r="AJ66" s="13"/>
      <c r="AK66" s="12"/>
      <c r="AL66" s="26"/>
      <c r="AM66" s="14"/>
    </row>
    <row r="67" spans="1:39" ht="15.6" x14ac:dyDescent="0.3">
      <c r="A67" s="6" t="s">
        <v>30</v>
      </c>
      <c r="B67" s="44">
        <v>45994</v>
      </c>
      <c r="C67" s="1">
        <v>300</v>
      </c>
      <c r="D67" s="7" t="s">
        <v>31</v>
      </c>
      <c r="E67" s="17" t="s">
        <v>34</v>
      </c>
      <c r="F67" s="8"/>
      <c r="G67" s="5" t="s">
        <v>121</v>
      </c>
      <c r="H67" s="1">
        <v>0.86</v>
      </c>
      <c r="I67" s="1" t="s">
        <v>32</v>
      </c>
      <c r="J67" s="3">
        <v>14.92</v>
      </c>
      <c r="K67" s="10">
        <f>J67-6.51</f>
        <v>8.41</v>
      </c>
      <c r="L67" s="9">
        <f>K67*H67</f>
        <v>7.2325999999999997</v>
      </c>
      <c r="M67" s="10">
        <f>L67/(275*2)*1000</f>
        <v>13.150181818181817</v>
      </c>
      <c r="N67" s="10"/>
      <c r="O67" s="10"/>
      <c r="P67" s="3">
        <v>197</v>
      </c>
      <c r="Q67" s="3">
        <v>206</v>
      </c>
      <c r="R67" s="3">
        <v>198</v>
      </c>
      <c r="S67" s="1">
        <v>167</v>
      </c>
      <c r="T67" s="1">
        <v>164</v>
      </c>
      <c r="U67" s="1">
        <v>160</v>
      </c>
      <c r="V67" s="11" cm="1">
        <f t="array" ref="V67">AVERAGE((P67:R67)-30.75)</f>
        <v>169.58333333333334</v>
      </c>
      <c r="W67" s="10">
        <f>V67/10000</f>
        <v>1.6958333333333336E-2</v>
      </c>
      <c r="X67" s="11">
        <f>AVERAGE(S67:U67)</f>
        <v>163.66666666666666</v>
      </c>
      <c r="Y67" s="10">
        <f>X67-30.75</f>
        <v>132.91666666666666</v>
      </c>
      <c r="Z67" s="9">
        <f>Y67/10000</f>
        <v>1.3291666666666665E-2</v>
      </c>
      <c r="AA67" s="9">
        <f>11*25*W67</f>
        <v>4.6635416666666671</v>
      </c>
      <c r="AB67" s="9">
        <f>11*25*Z67</f>
        <v>3.6552083333333329</v>
      </c>
      <c r="AC67" s="10">
        <f>K67/AA67</f>
        <v>1.8033504578959123</v>
      </c>
      <c r="AD67" s="10">
        <f>K67/AB67</f>
        <v>2.300826446280992</v>
      </c>
      <c r="AE67" s="3"/>
      <c r="AF67" s="3">
        <v>4.4800000000000004</v>
      </c>
      <c r="AG67" s="3"/>
      <c r="AH67" s="10">
        <f>AVERAGE(AE67:AG67)</f>
        <v>4.4800000000000004</v>
      </c>
      <c r="AI67" s="3">
        <v>7.7</v>
      </c>
      <c r="AJ67" s="55"/>
      <c r="AK67" s="12"/>
      <c r="AL67" s="26"/>
      <c r="AM67" s="14"/>
    </row>
    <row r="68" spans="1:39" ht="47.4" thickBot="1" x14ac:dyDescent="0.35">
      <c r="A68" s="34" t="s">
        <v>61</v>
      </c>
      <c r="B68" s="42">
        <v>45995</v>
      </c>
      <c r="C68" s="34">
        <v>300</v>
      </c>
      <c r="D68" s="34" t="s">
        <v>31</v>
      </c>
      <c r="E68" s="34" t="s">
        <v>33</v>
      </c>
      <c r="F68" s="52" t="s">
        <v>122</v>
      </c>
      <c r="G68" s="38" t="s">
        <v>127</v>
      </c>
      <c r="H68" s="28">
        <v>0.86</v>
      </c>
      <c r="I68" s="27"/>
      <c r="J68" s="29"/>
      <c r="K68" s="29"/>
      <c r="L68" s="30">
        <f>SUM(K63:K67)*H68</f>
        <v>37.994799999999991</v>
      </c>
      <c r="M68" s="29">
        <f>MIN(M63:M67)</f>
        <v>13.150181818181817</v>
      </c>
      <c r="N68" s="53">
        <v>200</v>
      </c>
      <c r="O68" s="29">
        <f>L68*N68/1000</f>
        <v>7.5989599999999982</v>
      </c>
      <c r="P68" s="58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60"/>
      <c r="AJ68" s="31" t="s">
        <v>123</v>
      </c>
      <c r="AK68" s="32">
        <v>1.5611999999999999</v>
      </c>
      <c r="AL68" s="57" t="s">
        <v>102</v>
      </c>
      <c r="AM68" s="14"/>
    </row>
    <row r="69" spans="1:39" ht="15.75" customHeight="1" thickBot="1" x14ac:dyDescent="0.35">
      <c r="A69" s="40" t="s">
        <v>30</v>
      </c>
      <c r="B69" s="44">
        <v>46001</v>
      </c>
      <c r="C69" s="5">
        <v>300</v>
      </c>
      <c r="D69" s="39" t="s">
        <v>31</v>
      </c>
      <c r="E69" s="17" t="s">
        <v>34</v>
      </c>
      <c r="F69" s="10" t="s">
        <v>130</v>
      </c>
      <c r="G69" s="5" t="s">
        <v>128</v>
      </c>
      <c r="H69" s="5">
        <v>0.86</v>
      </c>
      <c r="I69" s="5" t="s">
        <v>32</v>
      </c>
      <c r="J69" s="4">
        <v>15.47</v>
      </c>
      <c r="K69" s="46">
        <f>J69-6.51</f>
        <v>8.9600000000000009</v>
      </c>
      <c r="L69" s="47">
        <f>K69*H69</f>
        <v>7.7056000000000004</v>
      </c>
      <c r="M69" s="46">
        <f>L69/(275*2)*1000</f>
        <v>14.010181818181819</v>
      </c>
      <c r="N69" s="46"/>
      <c r="O69" s="46"/>
      <c r="P69" s="4">
        <v>222</v>
      </c>
      <c r="Q69" s="4">
        <v>223</v>
      </c>
      <c r="R69" s="4">
        <v>194</v>
      </c>
      <c r="S69" s="5">
        <v>177</v>
      </c>
      <c r="T69" s="5">
        <v>168</v>
      </c>
      <c r="U69" s="5">
        <v>155</v>
      </c>
      <c r="V69" s="48" cm="1">
        <f t="array" ref="V69">AVERAGE((P69:R69)-30.75)</f>
        <v>182.25</v>
      </c>
      <c r="W69" s="46">
        <f>V69/10000</f>
        <v>1.8225000000000002E-2</v>
      </c>
      <c r="X69" s="48">
        <f>AVERAGE(S69:U69)</f>
        <v>166.66666666666666</v>
      </c>
      <c r="Y69" s="46">
        <f>X69-30.75</f>
        <v>135.91666666666666</v>
      </c>
      <c r="Z69" s="47">
        <f>Y69/10000</f>
        <v>1.3591666666666665E-2</v>
      </c>
      <c r="AA69" s="47">
        <f>11*25*W69</f>
        <v>5.0118750000000007</v>
      </c>
      <c r="AB69" s="47">
        <f>11*25*Z69</f>
        <v>3.737708333333333</v>
      </c>
      <c r="AC69" s="46">
        <f>K69/AA69</f>
        <v>1.7877540840503803</v>
      </c>
      <c r="AD69" s="46">
        <f>K69/AB69</f>
        <v>2.3971907920405777</v>
      </c>
      <c r="AE69" s="4"/>
      <c r="AF69" s="4">
        <v>5.21</v>
      </c>
      <c r="AG69" s="4"/>
      <c r="AH69" s="46">
        <f>AVERAGE(AE69:AG69)</f>
        <v>5.21</v>
      </c>
      <c r="AI69" s="4">
        <v>13.05</v>
      </c>
      <c r="AJ69" s="54"/>
      <c r="AK69" s="50"/>
      <c r="AL69" s="51"/>
      <c r="AM69" s="14"/>
    </row>
    <row r="70" spans="1:39" ht="16.2" thickBot="1" x14ac:dyDescent="0.35">
      <c r="A70" s="6" t="s">
        <v>30</v>
      </c>
      <c r="B70" s="44">
        <v>46001</v>
      </c>
      <c r="C70" s="1">
        <v>300</v>
      </c>
      <c r="D70" s="39" t="s">
        <v>31</v>
      </c>
      <c r="E70" s="17" t="s">
        <v>34</v>
      </c>
      <c r="F70" s="10" t="s">
        <v>132</v>
      </c>
      <c r="G70" s="5" t="s">
        <v>129</v>
      </c>
      <c r="H70" s="1">
        <v>0.86</v>
      </c>
      <c r="I70" s="1" t="s">
        <v>32</v>
      </c>
      <c r="J70" s="3">
        <v>15.2</v>
      </c>
      <c r="K70" s="10">
        <f>J70-6.51</f>
        <v>8.69</v>
      </c>
      <c r="L70" s="9">
        <f>K70*H70</f>
        <v>7.4733999999999998</v>
      </c>
      <c r="M70" s="10">
        <f>L70/(275*2)*1000</f>
        <v>13.587999999999999</v>
      </c>
      <c r="O70" s="10"/>
      <c r="P70" s="3">
        <v>220</v>
      </c>
      <c r="Q70" s="3">
        <v>207</v>
      </c>
      <c r="R70" s="3">
        <v>205</v>
      </c>
      <c r="S70" s="1">
        <v>172</v>
      </c>
      <c r="T70" s="1">
        <v>154</v>
      </c>
      <c r="U70" s="1">
        <v>163</v>
      </c>
      <c r="V70" s="11" cm="1">
        <f t="array" ref="V70">AVERAGE((P70:R70)-30.75)</f>
        <v>179.91666666666666</v>
      </c>
      <c r="W70" s="10">
        <f>V70/10000</f>
        <v>1.7991666666666666E-2</v>
      </c>
      <c r="X70" s="11">
        <f>AVERAGE(S70:U70)</f>
        <v>163</v>
      </c>
      <c r="Y70" s="10">
        <f>X70-30.75</f>
        <v>132.25</v>
      </c>
      <c r="Z70" s="9">
        <f>Y70/10000</f>
        <v>1.3225000000000001E-2</v>
      </c>
      <c r="AA70" s="9">
        <f>11*25*W70</f>
        <v>4.9477083333333329</v>
      </c>
      <c r="AB70" s="9">
        <f>11*25*Z70</f>
        <v>3.6368750000000003</v>
      </c>
      <c r="AC70" s="10">
        <f>K70/AA70</f>
        <v>1.7563686892079666</v>
      </c>
      <c r="AD70" s="10">
        <f>K70/AB70</f>
        <v>2.3894139886578447</v>
      </c>
      <c r="AE70" s="3"/>
      <c r="AF70" s="3">
        <v>4.55</v>
      </c>
      <c r="AG70" s="3"/>
      <c r="AH70" s="10">
        <f>AVERAGE(AE70:AG70)</f>
        <v>4.55</v>
      </c>
      <c r="AI70" s="3">
        <v>12.85</v>
      </c>
      <c r="AJ70" s="55"/>
      <c r="AK70" s="12"/>
      <c r="AL70" s="26"/>
      <c r="AM70" s="14"/>
    </row>
    <row r="71" spans="1:39" ht="16.2" thickBot="1" x14ac:dyDescent="0.35">
      <c r="A71" s="6" t="s">
        <v>30</v>
      </c>
      <c r="B71" s="44">
        <v>46001</v>
      </c>
      <c r="C71" s="1">
        <v>300</v>
      </c>
      <c r="D71" s="39" t="s">
        <v>31</v>
      </c>
      <c r="E71" s="17" t="s">
        <v>34</v>
      </c>
      <c r="F71" s="10" t="s">
        <v>134</v>
      </c>
      <c r="G71" s="5" t="s">
        <v>131</v>
      </c>
      <c r="H71" s="1">
        <v>0.86</v>
      </c>
      <c r="I71" s="1" t="s">
        <v>32</v>
      </c>
      <c r="J71" s="3">
        <v>15.23</v>
      </c>
      <c r="K71" s="10">
        <f>J71-6.51</f>
        <v>8.7200000000000006</v>
      </c>
      <c r="L71" s="9">
        <f>K71*H71</f>
        <v>7.4992000000000001</v>
      </c>
      <c r="M71" s="10">
        <f>L71/(275*2)*1000</f>
        <v>13.634909090909092</v>
      </c>
      <c r="O71" s="72"/>
      <c r="P71" s="3">
        <v>209</v>
      </c>
      <c r="Q71" s="3">
        <v>210</v>
      </c>
      <c r="R71" s="3">
        <v>211</v>
      </c>
      <c r="S71" s="1">
        <v>167</v>
      </c>
      <c r="T71" s="1">
        <v>164</v>
      </c>
      <c r="U71" s="1">
        <v>168</v>
      </c>
      <c r="V71" s="11" cm="1">
        <f t="array" ref="V71">AVERAGE((P71:R71)-30.75)</f>
        <v>179.25</v>
      </c>
      <c r="W71" s="10">
        <f>V71/10000</f>
        <v>1.7925E-2</v>
      </c>
      <c r="X71" s="11">
        <f>AVERAGE(S71:U71)</f>
        <v>166.33333333333334</v>
      </c>
      <c r="Y71" s="10">
        <f>X71-30.75</f>
        <v>135.58333333333334</v>
      </c>
      <c r="Z71" s="9">
        <f>Y71/10000</f>
        <v>1.3558333333333334E-2</v>
      </c>
      <c r="AA71" s="9">
        <f>11*25*W71</f>
        <v>4.9293750000000003</v>
      </c>
      <c r="AB71" s="9">
        <f>11*25*Z71</f>
        <v>3.7285416666666666</v>
      </c>
      <c r="AC71" s="10">
        <f>K71/AA71</f>
        <v>1.7689869405350578</v>
      </c>
      <c r="AD71" s="10">
        <f>K71/AB71</f>
        <v>2.338715985919428</v>
      </c>
      <c r="AE71" s="3"/>
      <c r="AF71" s="3">
        <v>4.21</v>
      </c>
      <c r="AG71" s="3"/>
      <c r="AH71" s="10">
        <f>AVERAGE(AE71:AG71)</f>
        <v>4.21</v>
      </c>
      <c r="AI71" s="3">
        <v>12.36</v>
      </c>
      <c r="AJ71" s="55"/>
      <c r="AK71" s="12"/>
      <c r="AL71" s="26"/>
      <c r="AM71" s="14"/>
    </row>
    <row r="72" spans="1:39" ht="16.2" thickBot="1" x14ac:dyDescent="0.35">
      <c r="A72" s="15" t="s">
        <v>30</v>
      </c>
      <c r="B72" s="44">
        <v>46001</v>
      </c>
      <c r="C72" s="1">
        <v>300</v>
      </c>
      <c r="D72" s="7" t="s">
        <v>31</v>
      </c>
      <c r="E72" s="17" t="s">
        <v>34</v>
      </c>
      <c r="F72" s="68" t="s">
        <v>136</v>
      </c>
      <c r="G72" s="5" t="s">
        <v>133</v>
      </c>
      <c r="H72" s="1">
        <v>0.86</v>
      </c>
      <c r="I72" s="1" t="s">
        <v>32</v>
      </c>
      <c r="J72" s="3">
        <v>14.64</v>
      </c>
      <c r="K72" s="10">
        <f>J72-6.51</f>
        <v>8.1300000000000008</v>
      </c>
      <c r="L72" s="9">
        <f>K72*H72</f>
        <v>6.9918000000000005</v>
      </c>
      <c r="M72" s="10">
        <f>L72/(275*2)*1000</f>
        <v>12.712363636363637</v>
      </c>
      <c r="O72" s="72"/>
      <c r="P72" s="3">
        <v>187</v>
      </c>
      <c r="Q72" s="3">
        <v>205</v>
      </c>
      <c r="R72" s="3">
        <v>203</v>
      </c>
      <c r="S72" s="1">
        <v>154</v>
      </c>
      <c r="T72" s="1">
        <v>157</v>
      </c>
      <c r="U72" s="1">
        <v>163</v>
      </c>
      <c r="V72" s="11" cm="1">
        <f t="array" ref="V72">AVERAGE((P72:R72)-30.75)</f>
        <v>167.58333333333334</v>
      </c>
      <c r="W72" s="10">
        <f>V72/10000</f>
        <v>1.6758333333333333E-2</v>
      </c>
      <c r="X72" s="11">
        <f>AVERAGE(S72:U72)</f>
        <v>158</v>
      </c>
      <c r="Y72" s="10">
        <f>X72-30.75</f>
        <v>127.25</v>
      </c>
      <c r="Z72" s="9">
        <f>Y72/10000</f>
        <v>1.2725E-2</v>
      </c>
      <c r="AA72" s="9">
        <f>11*25*W72</f>
        <v>4.6085416666666665</v>
      </c>
      <c r="AB72" s="9">
        <f>11*25*Z72</f>
        <v>3.4993750000000001</v>
      </c>
      <c r="AC72" s="10">
        <f>K72/AA72</f>
        <v>1.7641155463134581</v>
      </c>
      <c r="AD72" s="10">
        <f>K72/AB72</f>
        <v>2.3232720128594395</v>
      </c>
      <c r="AE72" s="3"/>
      <c r="AF72" s="3">
        <v>4.87</v>
      </c>
      <c r="AG72" s="3"/>
      <c r="AH72" s="10">
        <f>AVERAGE(AE72:AG72)</f>
        <v>4.87</v>
      </c>
      <c r="AI72" s="3">
        <v>12.24</v>
      </c>
      <c r="AJ72" s="55"/>
      <c r="AK72" s="12"/>
      <c r="AL72" s="26"/>
      <c r="AM72" s="14"/>
    </row>
    <row r="73" spans="1:39" ht="16.2" thickBot="1" x14ac:dyDescent="0.35">
      <c r="A73" s="6" t="s">
        <v>30</v>
      </c>
      <c r="B73" s="44">
        <v>46001</v>
      </c>
      <c r="C73" s="1">
        <v>300</v>
      </c>
      <c r="D73" s="7" t="s">
        <v>31</v>
      </c>
      <c r="E73" s="17" t="s">
        <v>34</v>
      </c>
      <c r="F73" s="69" t="s">
        <v>137</v>
      </c>
      <c r="G73" s="5" t="s">
        <v>135</v>
      </c>
      <c r="H73" s="1">
        <v>0.86</v>
      </c>
      <c r="I73" s="1" t="s">
        <v>32</v>
      </c>
      <c r="J73" s="3">
        <v>14.76</v>
      </c>
      <c r="K73" s="10">
        <f>J73-6.51</f>
        <v>8.25</v>
      </c>
      <c r="L73" s="9">
        <f>K73*H73</f>
        <v>7.0949999999999998</v>
      </c>
      <c r="M73" s="10">
        <f>L73/(275*2)*1000</f>
        <v>12.9</v>
      </c>
      <c r="O73" s="72"/>
      <c r="P73" s="3">
        <v>207</v>
      </c>
      <c r="Q73" s="3">
        <v>207</v>
      </c>
      <c r="R73" s="3">
        <v>189</v>
      </c>
      <c r="S73" s="1">
        <v>166</v>
      </c>
      <c r="T73" s="1">
        <v>159</v>
      </c>
      <c r="U73" s="1">
        <v>164</v>
      </c>
      <c r="V73" s="11" cm="1">
        <f t="array" ref="V73">AVERAGE((P73:R73)-30.75)</f>
        <v>170.25</v>
      </c>
      <c r="W73" s="10">
        <f>V73/10000</f>
        <v>1.7024999999999998E-2</v>
      </c>
      <c r="X73" s="11">
        <f>AVERAGE(S73:U73)</f>
        <v>163</v>
      </c>
      <c r="Y73" s="10">
        <f>X73-30.75</f>
        <v>132.25</v>
      </c>
      <c r="Z73" s="9">
        <f>Y73/10000</f>
        <v>1.3225000000000001E-2</v>
      </c>
      <c r="AA73" s="9">
        <f>11*25*W73</f>
        <v>4.6818749999999998</v>
      </c>
      <c r="AB73" s="9">
        <f>11*25*Z73</f>
        <v>3.6368750000000003</v>
      </c>
      <c r="AC73" s="10">
        <f>K73/AA73</f>
        <v>1.7621145374449341</v>
      </c>
      <c r="AD73" s="10">
        <f>K73/AB73</f>
        <v>2.2684310018903591</v>
      </c>
      <c r="AE73" s="3"/>
      <c r="AF73" s="3">
        <v>4.66</v>
      </c>
      <c r="AG73" s="3"/>
      <c r="AH73" s="10">
        <f>AVERAGE(AE73:AG73)</f>
        <v>4.66</v>
      </c>
      <c r="AI73" s="3">
        <v>12.82</v>
      </c>
      <c r="AJ73" s="55"/>
      <c r="AK73" s="12"/>
      <c r="AL73" s="26"/>
      <c r="AM73" s="14"/>
    </row>
    <row r="74" spans="1:39" ht="16.2" thickBot="1" x14ac:dyDescent="0.35">
      <c r="A74" s="34" t="s">
        <v>61</v>
      </c>
      <c r="B74" s="42">
        <v>46001</v>
      </c>
      <c r="C74" s="34">
        <v>300</v>
      </c>
      <c r="D74" s="34" t="s">
        <v>31</v>
      </c>
      <c r="E74" s="34" t="s">
        <v>33</v>
      </c>
      <c r="F74" s="8"/>
      <c r="G74" s="38" t="s">
        <v>166</v>
      </c>
      <c r="H74" s="28">
        <v>0.86</v>
      </c>
      <c r="I74" s="27"/>
      <c r="J74" s="29"/>
      <c r="K74" s="29"/>
      <c r="L74" s="30">
        <f>SUM(K69:K73)*H74</f>
        <v>36.765000000000001</v>
      </c>
      <c r="M74" s="29">
        <f>MIN(M69:M73)</f>
        <v>12.712363636363637</v>
      </c>
      <c r="N74" s="71">
        <v>375</v>
      </c>
      <c r="O74" s="73">
        <v>13.787000000000001</v>
      </c>
      <c r="P74" s="58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60"/>
      <c r="AJ74" s="31" t="s">
        <v>138</v>
      </c>
      <c r="AK74" s="32"/>
      <c r="AL74" s="57" t="s">
        <v>139</v>
      </c>
      <c r="AM74" s="14"/>
    </row>
    <row r="75" spans="1:39" ht="15.75" customHeight="1" thickBot="1" x14ac:dyDescent="0.35">
      <c r="A75" s="15" t="s">
        <v>30</v>
      </c>
      <c r="B75" s="44">
        <v>46001</v>
      </c>
      <c r="C75" s="1">
        <v>300</v>
      </c>
      <c r="D75" s="7" t="s">
        <v>31</v>
      </c>
      <c r="E75" s="17" t="s">
        <v>34</v>
      </c>
      <c r="F75" s="10" t="s">
        <v>132</v>
      </c>
      <c r="G75" s="5" t="s">
        <v>140</v>
      </c>
      <c r="H75" s="16">
        <v>0.86</v>
      </c>
      <c r="I75" s="1" t="s">
        <v>32</v>
      </c>
      <c r="J75" s="19">
        <v>15.23</v>
      </c>
      <c r="K75" s="21">
        <f>J75-6.51</f>
        <v>8.7200000000000006</v>
      </c>
      <c r="L75" s="20">
        <f>K75*H75</f>
        <v>7.4992000000000001</v>
      </c>
      <c r="M75" s="21">
        <f>L75/(275*2)*1000</f>
        <v>13.634909090909092</v>
      </c>
      <c r="N75" s="21"/>
      <c r="O75" s="21"/>
      <c r="P75" s="19">
        <v>211</v>
      </c>
      <c r="Q75" s="19">
        <v>215</v>
      </c>
      <c r="R75" s="19">
        <v>206</v>
      </c>
      <c r="S75" s="16">
        <v>168</v>
      </c>
      <c r="T75" s="16">
        <v>169</v>
      </c>
      <c r="U75" s="16">
        <v>162</v>
      </c>
      <c r="V75" s="22" cm="1">
        <f t="array" ref="V75">AVERAGE((P75:R75)-30.75)</f>
        <v>179.91666666666666</v>
      </c>
      <c r="W75" s="21">
        <f>V75/10000</f>
        <v>1.7991666666666666E-2</v>
      </c>
      <c r="X75" s="22">
        <f>AVERAGE(S75:U75)</f>
        <v>166.33333333333334</v>
      </c>
      <c r="Y75" s="21">
        <f>X75-30.75</f>
        <v>135.58333333333334</v>
      </c>
      <c r="Z75" s="20">
        <f>Y75/10000</f>
        <v>1.3558333333333334E-2</v>
      </c>
      <c r="AA75" s="20">
        <f>11*25*W75</f>
        <v>4.9477083333333329</v>
      </c>
      <c r="AB75" s="20">
        <f>11*25*Z75</f>
        <v>3.7285416666666666</v>
      </c>
      <c r="AC75" s="21">
        <f>K75/AA75</f>
        <v>1.7624321024043121</v>
      </c>
      <c r="AD75" s="21">
        <f>K75/AB75</f>
        <v>2.338715985919428</v>
      </c>
      <c r="AE75" s="19"/>
      <c r="AF75" s="19">
        <v>4.55</v>
      </c>
      <c r="AG75" s="19"/>
      <c r="AH75" s="21">
        <f>AVERAGE(AE75:AG75)</f>
        <v>4.55</v>
      </c>
      <c r="AI75" s="19">
        <v>9.84</v>
      </c>
      <c r="AJ75" s="56"/>
      <c r="AK75" s="24"/>
      <c r="AL75" s="25"/>
      <c r="AM75" s="14"/>
    </row>
    <row r="76" spans="1:39" ht="16.2" thickBot="1" x14ac:dyDescent="0.35">
      <c r="A76" s="6" t="s">
        <v>30</v>
      </c>
      <c r="B76" s="44">
        <v>46001</v>
      </c>
      <c r="C76" s="1">
        <v>300</v>
      </c>
      <c r="D76" s="7" t="s">
        <v>31</v>
      </c>
      <c r="E76" s="17" t="s">
        <v>34</v>
      </c>
      <c r="F76" s="10" t="s">
        <v>134</v>
      </c>
      <c r="G76" s="5" t="s">
        <v>141</v>
      </c>
      <c r="H76" s="1">
        <v>0.86</v>
      </c>
      <c r="I76" s="1" t="s">
        <v>32</v>
      </c>
      <c r="J76" s="3">
        <v>14.67</v>
      </c>
      <c r="K76" s="10">
        <f>J76-6.51</f>
        <v>8.16</v>
      </c>
      <c r="L76" s="9">
        <f>K76*H76</f>
        <v>7.0175999999999998</v>
      </c>
      <c r="M76" s="10">
        <f>L76/(275*2)*1000</f>
        <v>12.759272727272727</v>
      </c>
      <c r="N76" s="10"/>
      <c r="O76" s="10"/>
      <c r="P76" s="3">
        <v>202</v>
      </c>
      <c r="Q76" s="3">
        <v>200</v>
      </c>
      <c r="R76" s="3">
        <v>181</v>
      </c>
      <c r="S76" s="1">
        <v>160</v>
      </c>
      <c r="T76" s="1">
        <v>155</v>
      </c>
      <c r="U76" s="1">
        <v>153</v>
      </c>
      <c r="V76" s="11" cm="1">
        <f t="array" ref="V76">AVERAGE((P76:R76)-30.75)</f>
        <v>163.58333333333334</v>
      </c>
      <c r="W76" s="10">
        <f>V76/10000</f>
        <v>1.6358333333333336E-2</v>
      </c>
      <c r="X76" s="11">
        <f>AVERAGE(S76:U76)</f>
        <v>156</v>
      </c>
      <c r="Y76" s="10">
        <f>X76-30.75</f>
        <v>125.25</v>
      </c>
      <c r="Z76" s="9">
        <f>Y76/10000</f>
        <v>1.2525E-2</v>
      </c>
      <c r="AA76" s="9">
        <f>11*25*W76</f>
        <v>4.4985416666666671</v>
      </c>
      <c r="AB76" s="9">
        <f>11*25*Z76</f>
        <v>3.444375</v>
      </c>
      <c r="AC76" s="10">
        <f>K76/AA76</f>
        <v>1.8139211781595885</v>
      </c>
      <c r="AD76" s="10">
        <f>K76/AB76</f>
        <v>2.3690800217746326</v>
      </c>
      <c r="AE76" s="3"/>
      <c r="AF76" s="3">
        <v>4.49</v>
      </c>
      <c r="AG76" s="3"/>
      <c r="AH76" s="10">
        <f>AVERAGE(AE76:AG76)</f>
        <v>4.49</v>
      </c>
      <c r="AI76" s="3">
        <v>12.33</v>
      </c>
      <c r="AJ76" s="55"/>
      <c r="AK76" s="12"/>
      <c r="AL76" s="26"/>
      <c r="AM76" s="14"/>
    </row>
    <row r="77" spans="1:39" ht="16.2" thickBot="1" x14ac:dyDescent="0.35">
      <c r="A77" s="6" t="s">
        <v>30</v>
      </c>
      <c r="B77" s="44">
        <v>46001</v>
      </c>
      <c r="C77" s="1">
        <v>300</v>
      </c>
      <c r="D77" s="7" t="s">
        <v>31</v>
      </c>
      <c r="E77" s="17" t="s">
        <v>34</v>
      </c>
      <c r="F77" s="68" t="s">
        <v>145</v>
      </c>
      <c r="G77" s="5" t="s">
        <v>142</v>
      </c>
      <c r="H77" s="1">
        <v>0.86</v>
      </c>
      <c r="I77" s="1" t="s">
        <v>32</v>
      </c>
      <c r="J77" s="3">
        <v>15.58</v>
      </c>
      <c r="K77" s="10">
        <f>J77-6.51</f>
        <v>9.07</v>
      </c>
      <c r="L77" s="9">
        <f>K77*H77</f>
        <v>7.8002000000000002</v>
      </c>
      <c r="M77" s="10">
        <f>L77/(275*2)*1000</f>
        <v>14.182181818181819</v>
      </c>
      <c r="O77" s="72"/>
      <c r="P77" s="3">
        <v>218</v>
      </c>
      <c r="Q77" s="3">
        <v>222</v>
      </c>
      <c r="R77" s="3">
        <v>214</v>
      </c>
      <c r="S77" s="1">
        <v>172</v>
      </c>
      <c r="T77" s="1">
        <v>169</v>
      </c>
      <c r="U77" s="1">
        <v>165</v>
      </c>
      <c r="V77" s="11" cm="1">
        <f t="array" ref="V77">AVERAGE((P77:R77)-30.75)</f>
        <v>187.25</v>
      </c>
      <c r="W77" s="10">
        <f>V77/10000</f>
        <v>1.8724999999999999E-2</v>
      </c>
      <c r="X77" s="11">
        <f>AVERAGE(S77:U77)</f>
        <v>168.66666666666666</v>
      </c>
      <c r="Y77" s="10">
        <f>X77-30.75</f>
        <v>137.91666666666666</v>
      </c>
      <c r="Z77" s="9">
        <f>Y77/10000</f>
        <v>1.3791666666666666E-2</v>
      </c>
      <c r="AA77" s="9">
        <f>11*25*W77</f>
        <v>5.149375</v>
      </c>
      <c r="AB77" s="9">
        <f>11*25*Z77</f>
        <v>3.7927083333333331</v>
      </c>
      <c r="AC77" s="10">
        <f>K77/AA77</f>
        <v>1.7613788081077801</v>
      </c>
      <c r="AD77" s="10">
        <f>K77/AB77</f>
        <v>2.3914309255698987</v>
      </c>
      <c r="AE77" s="3"/>
      <c r="AF77" s="3">
        <v>4.16</v>
      </c>
      <c r="AG77" s="3"/>
      <c r="AH77" s="10">
        <f>AVERAGE(AE77:AG77)</f>
        <v>4.16</v>
      </c>
      <c r="AI77" s="3">
        <v>11.08</v>
      </c>
      <c r="AJ77" s="55"/>
      <c r="AK77" s="12"/>
      <c r="AL77" s="26"/>
      <c r="AM77" s="14"/>
    </row>
    <row r="78" spans="1:39" ht="16.2" thickBot="1" x14ac:dyDescent="0.35">
      <c r="A78" s="15" t="s">
        <v>30</v>
      </c>
      <c r="B78" s="44">
        <v>46001</v>
      </c>
      <c r="C78" s="1">
        <v>300</v>
      </c>
      <c r="D78" s="7" t="s">
        <v>31</v>
      </c>
      <c r="E78" s="17" t="s">
        <v>34</v>
      </c>
      <c r="F78" s="69" t="s">
        <v>137</v>
      </c>
      <c r="G78" s="5" t="s">
        <v>143</v>
      </c>
      <c r="H78" s="1">
        <v>0.86</v>
      </c>
      <c r="I78" s="1" t="s">
        <v>32</v>
      </c>
      <c r="J78" s="3">
        <v>15.84</v>
      </c>
      <c r="K78" s="10">
        <f>J78-6.51</f>
        <v>9.33</v>
      </c>
      <c r="L78" s="9">
        <f>K78*H78</f>
        <v>8.0237999999999996</v>
      </c>
      <c r="M78" s="10">
        <f>L78/(275*2)*1000</f>
        <v>14.588727272727272</v>
      </c>
      <c r="O78" s="72"/>
      <c r="P78" s="3">
        <v>217</v>
      </c>
      <c r="Q78" s="3">
        <v>223</v>
      </c>
      <c r="R78" s="3">
        <v>218</v>
      </c>
      <c r="S78" s="1">
        <v>167</v>
      </c>
      <c r="T78" s="1">
        <v>162</v>
      </c>
      <c r="U78" s="1">
        <v>166</v>
      </c>
      <c r="V78" s="11" cm="1">
        <f t="array" ref="V78">AVERAGE((P78:R78)-30.75)</f>
        <v>188.58333333333334</v>
      </c>
      <c r="W78" s="10">
        <f>V78/10000</f>
        <v>1.8858333333333335E-2</v>
      </c>
      <c r="X78" s="11">
        <f>AVERAGE(S78:U78)</f>
        <v>165</v>
      </c>
      <c r="Y78" s="10">
        <f>X78-30.75</f>
        <v>134.25</v>
      </c>
      <c r="Z78" s="9">
        <f>Y78/10000</f>
        <v>1.3424999999999999E-2</v>
      </c>
      <c r="AA78" s="9">
        <f>11*25*W78</f>
        <v>5.1860416666666671</v>
      </c>
      <c r="AB78" s="9">
        <f>11*25*Z78</f>
        <v>3.691875</v>
      </c>
      <c r="AC78" s="10">
        <f>K78/AA78</f>
        <v>1.7990599767002771</v>
      </c>
      <c r="AD78" s="10">
        <f>K78/AB78</f>
        <v>2.5271711528694767</v>
      </c>
      <c r="AE78" s="3"/>
      <c r="AF78" s="3">
        <v>4.2</v>
      </c>
      <c r="AG78" s="3"/>
      <c r="AH78" s="10">
        <f>AVERAGE(AE78:AG78)</f>
        <v>4.2</v>
      </c>
      <c r="AI78" s="3">
        <v>10.71</v>
      </c>
      <c r="AJ78" s="55"/>
      <c r="AK78" s="12"/>
      <c r="AL78" s="26"/>
      <c r="AM78" s="14"/>
    </row>
    <row r="79" spans="1:39" ht="15.75" customHeight="1" x14ac:dyDescent="0.3">
      <c r="A79" s="6" t="s">
        <v>30</v>
      </c>
      <c r="B79" s="44">
        <v>46001</v>
      </c>
      <c r="C79" s="1">
        <v>300</v>
      </c>
      <c r="D79" s="7" t="s">
        <v>31</v>
      </c>
      <c r="E79" s="17" t="s">
        <v>34</v>
      </c>
      <c r="F79" s="8"/>
      <c r="G79" s="5" t="s">
        <v>144</v>
      </c>
      <c r="H79" s="1">
        <v>0.86</v>
      </c>
      <c r="I79" s="1" t="s">
        <v>32</v>
      </c>
      <c r="J79" s="3">
        <v>14.98</v>
      </c>
      <c r="K79" s="10">
        <f>J79-6.51</f>
        <v>8.4700000000000006</v>
      </c>
      <c r="L79" s="9">
        <f>K79*H79</f>
        <v>7.2842000000000002</v>
      </c>
      <c r="M79" s="10">
        <f>L79/(275*2)*1000</f>
        <v>13.244</v>
      </c>
      <c r="O79" s="72"/>
      <c r="P79" s="3">
        <v>201</v>
      </c>
      <c r="Q79" s="3">
        <v>214</v>
      </c>
      <c r="R79" s="3">
        <v>203</v>
      </c>
      <c r="S79" s="1">
        <v>157</v>
      </c>
      <c r="T79" s="1">
        <v>157</v>
      </c>
      <c r="U79" s="1">
        <v>155</v>
      </c>
      <c r="V79" s="11" cm="1">
        <f t="array" ref="V79">AVERAGE((P79:R79)-30.75)</f>
        <v>175.25</v>
      </c>
      <c r="W79" s="10">
        <f>V79/10000</f>
        <v>1.7524999999999999E-2</v>
      </c>
      <c r="X79" s="11">
        <f>AVERAGE(S79:U79)</f>
        <v>156.33333333333334</v>
      </c>
      <c r="Y79" s="10">
        <f>X79-30.75</f>
        <v>125.58333333333334</v>
      </c>
      <c r="Z79" s="9">
        <f>Y79/10000</f>
        <v>1.2558333333333335E-2</v>
      </c>
      <c r="AA79" s="9">
        <f>11*25*W79</f>
        <v>4.819375</v>
      </c>
      <c r="AB79" s="9">
        <f>11*25*Z79</f>
        <v>3.4535416666666672</v>
      </c>
      <c r="AC79" s="10">
        <f>K79/AA79</f>
        <v>1.7574893009985737</v>
      </c>
      <c r="AD79" s="10">
        <f>K79/AB79</f>
        <v>2.4525547445255471</v>
      </c>
      <c r="AE79" s="3"/>
      <c r="AF79" s="3">
        <v>4.59</v>
      </c>
      <c r="AG79" s="3"/>
      <c r="AH79" s="10">
        <f>AVERAGE(AE79:AG79)</f>
        <v>4.59</v>
      </c>
      <c r="AI79" s="3">
        <v>10.43</v>
      </c>
      <c r="AJ79" s="55"/>
      <c r="AK79" s="12"/>
      <c r="AL79" s="26"/>
      <c r="AM79" s="14"/>
    </row>
    <row r="80" spans="1:39" ht="16.2" thickBot="1" x14ac:dyDescent="0.35">
      <c r="A80" s="34" t="s">
        <v>61</v>
      </c>
      <c r="B80" s="42">
        <v>46001</v>
      </c>
      <c r="C80" s="34">
        <v>300</v>
      </c>
      <c r="D80" s="34" t="s">
        <v>31</v>
      </c>
      <c r="E80" s="34" t="s">
        <v>33</v>
      </c>
      <c r="F80" s="8"/>
      <c r="G80" s="38" t="s">
        <v>165</v>
      </c>
      <c r="H80" s="28">
        <v>0.86</v>
      </c>
      <c r="I80" s="27"/>
      <c r="J80" s="29"/>
      <c r="K80" s="29"/>
      <c r="L80" s="30">
        <f>SUM(K75:K79)*H80</f>
        <v>37.625</v>
      </c>
      <c r="M80" s="29">
        <f>MIN(M75:M79)</f>
        <v>12.759272727272727</v>
      </c>
      <c r="N80" s="71">
        <v>200</v>
      </c>
      <c r="O80" s="73">
        <v>7.5</v>
      </c>
      <c r="P80" s="58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60"/>
      <c r="AJ80" s="31" t="s">
        <v>146</v>
      </c>
      <c r="AK80" s="32">
        <v>1.577</v>
      </c>
      <c r="AL80" s="57" t="s">
        <v>147</v>
      </c>
      <c r="AM80" s="14"/>
    </row>
    <row r="81" spans="1:39" ht="16.2" thickBot="1" x14ac:dyDescent="0.35">
      <c r="A81" s="15" t="s">
        <v>30</v>
      </c>
      <c r="B81" s="44">
        <v>46001</v>
      </c>
      <c r="C81" s="1">
        <v>300</v>
      </c>
      <c r="D81" s="7" t="s">
        <v>31</v>
      </c>
      <c r="E81" s="17" t="s">
        <v>34</v>
      </c>
      <c r="F81" s="10" t="s">
        <v>132</v>
      </c>
      <c r="G81" s="5" t="s">
        <v>148</v>
      </c>
      <c r="H81" s="16">
        <v>0.86</v>
      </c>
      <c r="I81" s="1" t="s">
        <v>32</v>
      </c>
      <c r="J81" s="19">
        <v>15.15</v>
      </c>
      <c r="K81" s="21">
        <f>J81-6.51</f>
        <v>8.64</v>
      </c>
      <c r="L81" s="20">
        <f>K81*H81</f>
        <v>7.4304000000000006</v>
      </c>
      <c r="M81" s="21">
        <f>L81/(275*2)*1000</f>
        <v>13.509818181818183</v>
      </c>
      <c r="N81" s="21"/>
      <c r="O81" s="21"/>
      <c r="P81" s="19">
        <v>208</v>
      </c>
      <c r="Q81" s="19">
        <v>213</v>
      </c>
      <c r="R81" s="19">
        <v>209</v>
      </c>
      <c r="S81" s="16">
        <v>165</v>
      </c>
      <c r="T81" s="16">
        <v>163</v>
      </c>
      <c r="U81" s="16">
        <v>163</v>
      </c>
      <c r="V81" s="22" cm="1">
        <f t="array" ref="V81">AVERAGE((P81:R81)-30.75)</f>
        <v>179.25</v>
      </c>
      <c r="W81" s="21">
        <f>V81/10000</f>
        <v>1.7925E-2</v>
      </c>
      <c r="X81" s="22">
        <f>AVERAGE(S81:U81)</f>
        <v>163.66666666666666</v>
      </c>
      <c r="Y81" s="21">
        <f>X81-30.75</f>
        <v>132.91666666666666</v>
      </c>
      <c r="Z81" s="20">
        <f>Y81/10000</f>
        <v>1.3291666666666665E-2</v>
      </c>
      <c r="AA81" s="20">
        <f>11*25*W81</f>
        <v>4.9293750000000003</v>
      </c>
      <c r="AB81" s="20">
        <f>11*25*Z81</f>
        <v>3.6552083333333329</v>
      </c>
      <c r="AC81" s="21">
        <f>K81/AA81</f>
        <v>1.7527577025484975</v>
      </c>
      <c r="AD81" s="21">
        <f>K81/AB81</f>
        <v>2.3637503562268458</v>
      </c>
      <c r="AE81" s="19"/>
      <c r="AF81" s="19">
        <v>4.08</v>
      </c>
      <c r="AG81" s="19"/>
      <c r="AH81" s="21">
        <f>AVERAGE(AE81:AG81)</f>
        <v>4.08</v>
      </c>
      <c r="AI81" s="19">
        <v>11.82</v>
      </c>
      <c r="AJ81" s="56"/>
      <c r="AK81" s="24"/>
      <c r="AL81" s="25"/>
      <c r="AM81" s="14"/>
    </row>
    <row r="82" spans="1:39" ht="16.2" thickBot="1" x14ac:dyDescent="0.35">
      <c r="A82" s="6" t="s">
        <v>30</v>
      </c>
      <c r="B82" s="44">
        <v>46001</v>
      </c>
      <c r="C82" s="1">
        <v>300</v>
      </c>
      <c r="D82" s="7" t="s">
        <v>31</v>
      </c>
      <c r="E82" s="17" t="s">
        <v>34</v>
      </c>
      <c r="F82" s="10" t="s">
        <v>134</v>
      </c>
      <c r="G82" s="5" t="s">
        <v>149</v>
      </c>
      <c r="H82" s="1">
        <v>0.86</v>
      </c>
      <c r="I82" s="1" t="s">
        <v>32</v>
      </c>
      <c r="J82" s="3">
        <v>15.35</v>
      </c>
      <c r="K82" s="10">
        <f>J82-6.51</f>
        <v>8.84</v>
      </c>
      <c r="L82" s="9">
        <f>K82*H82</f>
        <v>7.6023999999999994</v>
      </c>
      <c r="M82" s="10">
        <f>L82/(275*2)*1000</f>
        <v>13.822545454545454</v>
      </c>
      <c r="N82" s="10"/>
      <c r="O82" s="10"/>
      <c r="P82" s="3">
        <v>219</v>
      </c>
      <c r="Q82" s="3">
        <v>226</v>
      </c>
      <c r="R82" s="3">
        <v>207</v>
      </c>
      <c r="S82" s="1">
        <v>167</v>
      </c>
      <c r="T82" s="1">
        <v>152</v>
      </c>
      <c r="U82" s="1">
        <v>164</v>
      </c>
      <c r="V82" s="11" cm="1">
        <f t="array" ref="V82">AVERAGE((P82:R82)-30.75)</f>
        <v>186.58333333333334</v>
      </c>
      <c r="W82" s="10">
        <f>V82/10000</f>
        <v>1.8658333333333336E-2</v>
      </c>
      <c r="X82" s="11">
        <f>AVERAGE(S82:U82)</f>
        <v>161</v>
      </c>
      <c r="Y82" s="10">
        <f>X82-30.75</f>
        <v>130.25</v>
      </c>
      <c r="Z82" s="9">
        <f>Y82/10000</f>
        <v>1.3025E-2</v>
      </c>
      <c r="AA82" s="9">
        <f>11*25*W82</f>
        <v>5.1310416666666674</v>
      </c>
      <c r="AB82" s="9">
        <f>11*25*Z82</f>
        <v>3.5818750000000001</v>
      </c>
      <c r="AC82" s="10">
        <f>K82/AA82</f>
        <v>1.7228470502253439</v>
      </c>
      <c r="AD82" s="10">
        <f>K82/AB82</f>
        <v>2.46798115512127</v>
      </c>
      <c r="AE82" s="3"/>
      <c r="AF82" s="3">
        <v>4.04</v>
      </c>
      <c r="AG82" s="3"/>
      <c r="AH82" s="10">
        <f>AVERAGE(AE82:AG82)</f>
        <v>4.04</v>
      </c>
      <c r="AI82" s="3">
        <v>11.68</v>
      </c>
      <c r="AJ82" s="55"/>
      <c r="AK82" s="12"/>
      <c r="AL82" s="26"/>
      <c r="AM82" s="14"/>
    </row>
    <row r="83" spans="1:39" ht="15.75" customHeight="1" thickBot="1" x14ac:dyDescent="0.35">
      <c r="A83" s="6" t="s">
        <v>30</v>
      </c>
      <c r="B83" s="44">
        <v>46001</v>
      </c>
      <c r="C83" s="1">
        <v>300</v>
      </c>
      <c r="D83" s="7" t="s">
        <v>31</v>
      </c>
      <c r="E83" s="17" t="s">
        <v>34</v>
      </c>
      <c r="F83" s="68" t="s">
        <v>153</v>
      </c>
      <c r="G83" s="5" t="s">
        <v>150</v>
      </c>
      <c r="H83" s="1">
        <v>0.86</v>
      </c>
      <c r="I83" s="1" t="s">
        <v>32</v>
      </c>
      <c r="J83" s="3">
        <v>15.26</v>
      </c>
      <c r="K83" s="10">
        <f>J83-6.51</f>
        <v>8.75</v>
      </c>
      <c r="L83" s="9">
        <f>K83*H83</f>
        <v>7.5249999999999995</v>
      </c>
      <c r="M83" s="10">
        <f>L83/(275*2)*1000</f>
        <v>13.68181818181818</v>
      </c>
      <c r="O83" s="72"/>
      <c r="P83" s="3">
        <v>213</v>
      </c>
      <c r="Q83" s="3">
        <v>207</v>
      </c>
      <c r="R83" s="3">
        <v>216</v>
      </c>
      <c r="S83" s="1">
        <v>153</v>
      </c>
      <c r="T83" s="1">
        <v>155</v>
      </c>
      <c r="U83" s="1">
        <v>157</v>
      </c>
      <c r="V83" s="11" cm="1">
        <f t="array" ref="V83">AVERAGE((P83:R83)-30.75)</f>
        <v>181.25</v>
      </c>
      <c r="W83" s="10">
        <f>V83/10000</f>
        <v>1.8124999999999999E-2</v>
      </c>
      <c r="X83" s="11">
        <f>AVERAGE(S83:U83)</f>
        <v>155</v>
      </c>
      <c r="Y83" s="10">
        <f>X83-30.75</f>
        <v>124.25</v>
      </c>
      <c r="Z83" s="9">
        <f>Y83/10000</f>
        <v>1.2425E-2</v>
      </c>
      <c r="AA83" s="9">
        <f>11*25*W83</f>
        <v>4.984375</v>
      </c>
      <c r="AB83" s="9">
        <f>11*25*Z83</f>
        <v>3.4168750000000001</v>
      </c>
      <c r="AC83" s="10">
        <f>K83/AA83</f>
        <v>1.755485893416928</v>
      </c>
      <c r="AD83" s="10">
        <f>K83/AB83</f>
        <v>2.5608194622279128</v>
      </c>
      <c r="AE83" s="3"/>
      <c r="AF83" s="3">
        <v>4.2699999999999996</v>
      </c>
      <c r="AG83" s="3"/>
      <c r="AH83" s="10">
        <f>AVERAGE(AE83:AG83)</f>
        <v>4.2699999999999996</v>
      </c>
      <c r="AI83" s="3">
        <v>13.77</v>
      </c>
      <c r="AJ83" s="55"/>
      <c r="AK83" s="12"/>
      <c r="AL83" s="26"/>
      <c r="AM83" s="14"/>
    </row>
    <row r="84" spans="1:39" ht="16.2" thickBot="1" x14ac:dyDescent="0.35">
      <c r="A84" s="15" t="s">
        <v>30</v>
      </c>
      <c r="B84" s="44">
        <v>46001</v>
      </c>
      <c r="C84" s="1">
        <v>300</v>
      </c>
      <c r="D84" s="7" t="s">
        <v>31</v>
      </c>
      <c r="E84" s="17" t="s">
        <v>34</v>
      </c>
      <c r="F84" s="69" t="s">
        <v>154</v>
      </c>
      <c r="G84" s="5" t="s">
        <v>151</v>
      </c>
      <c r="H84" s="1">
        <v>0.86</v>
      </c>
      <c r="I84" s="1" t="s">
        <v>32</v>
      </c>
      <c r="J84" s="3">
        <v>15.29</v>
      </c>
      <c r="K84" s="10">
        <f>J84-6.51</f>
        <v>8.7799999999999994</v>
      </c>
      <c r="L84" s="9">
        <f>K84*H84</f>
        <v>7.5507999999999997</v>
      </c>
      <c r="M84" s="10">
        <f>L84/(275*2)*1000</f>
        <v>13.728727272727273</v>
      </c>
      <c r="O84" s="72"/>
      <c r="P84" s="3">
        <v>205</v>
      </c>
      <c r="Q84" s="3">
        <v>232</v>
      </c>
      <c r="R84" s="3">
        <v>212</v>
      </c>
      <c r="S84" s="1">
        <v>158</v>
      </c>
      <c r="T84" s="1">
        <v>156</v>
      </c>
      <c r="U84" s="1">
        <v>161</v>
      </c>
      <c r="V84" s="11" cm="1">
        <f t="array" ref="V84">AVERAGE((P84:R84)-30.75)</f>
        <v>185.58333333333334</v>
      </c>
      <c r="W84" s="10">
        <f>V84/10000</f>
        <v>1.8558333333333333E-2</v>
      </c>
      <c r="X84" s="11">
        <f>AVERAGE(S84:U84)</f>
        <v>158.33333333333334</v>
      </c>
      <c r="Y84" s="10">
        <f>X84-30.75</f>
        <v>127.58333333333334</v>
      </c>
      <c r="Z84" s="9">
        <f>Y84/10000</f>
        <v>1.2758333333333335E-2</v>
      </c>
      <c r="AA84" s="9">
        <f>11*25*W84</f>
        <v>5.1035416666666666</v>
      </c>
      <c r="AB84" s="9">
        <f>11*25*Z84</f>
        <v>3.5085416666666673</v>
      </c>
      <c r="AC84" s="10">
        <f>K84/AA84</f>
        <v>1.7203739233375515</v>
      </c>
      <c r="AD84" s="10">
        <f>K84/AB84</f>
        <v>2.5024642242147133</v>
      </c>
      <c r="AE84" s="3"/>
      <c r="AF84" s="3">
        <v>4.16</v>
      </c>
      <c r="AG84" s="3"/>
      <c r="AH84" s="10">
        <f>AVERAGE(AE84:AG84)</f>
        <v>4.16</v>
      </c>
      <c r="AI84" s="3">
        <v>13.7</v>
      </c>
      <c r="AJ84" s="55"/>
      <c r="AK84" s="12"/>
      <c r="AL84" s="26"/>
      <c r="AM84" s="14"/>
    </row>
    <row r="85" spans="1:39" ht="15.75" customHeight="1" x14ac:dyDescent="0.3">
      <c r="A85" s="6" t="s">
        <v>30</v>
      </c>
      <c r="B85" s="44">
        <v>46001</v>
      </c>
      <c r="C85" s="1">
        <v>300</v>
      </c>
      <c r="D85" s="7" t="s">
        <v>31</v>
      </c>
      <c r="E85" s="17" t="s">
        <v>34</v>
      </c>
      <c r="F85" s="8"/>
      <c r="G85" s="5" t="s">
        <v>152</v>
      </c>
      <c r="H85" s="1">
        <v>0.86</v>
      </c>
      <c r="I85" s="1" t="s">
        <v>32</v>
      </c>
      <c r="J85" s="3">
        <v>15.37</v>
      </c>
      <c r="K85" s="10">
        <f>J85-6.51</f>
        <v>8.86</v>
      </c>
      <c r="L85" s="9">
        <f>K85*H85</f>
        <v>7.6195999999999993</v>
      </c>
      <c r="M85" s="10">
        <f>L85/(275*2)*1000</f>
        <v>13.85381818181818</v>
      </c>
      <c r="O85" s="72"/>
      <c r="P85" s="3">
        <v>200</v>
      </c>
      <c r="Q85" s="3">
        <v>222</v>
      </c>
      <c r="R85" s="3">
        <v>221</v>
      </c>
      <c r="S85" s="1">
        <v>167</v>
      </c>
      <c r="T85" s="1">
        <v>158</v>
      </c>
      <c r="U85" s="1">
        <v>168</v>
      </c>
      <c r="V85" s="11" cm="1">
        <f t="array" ref="V85">AVERAGE((P85:R85)-30.75)</f>
        <v>183.58333333333334</v>
      </c>
      <c r="W85" s="10">
        <f>V85/10000</f>
        <v>1.8358333333333334E-2</v>
      </c>
      <c r="X85" s="11">
        <f>AVERAGE(S85:U85)</f>
        <v>164.33333333333334</v>
      </c>
      <c r="Y85" s="10">
        <f>X85-30.75</f>
        <v>133.58333333333334</v>
      </c>
      <c r="Z85" s="9">
        <f>Y85/10000</f>
        <v>1.3358333333333335E-2</v>
      </c>
      <c r="AA85" s="9">
        <f>11*25*W85</f>
        <v>5.0485416666666669</v>
      </c>
      <c r="AB85" s="9">
        <f>11*25*Z85</f>
        <v>3.6735416666666669</v>
      </c>
      <c r="AC85" s="10">
        <f>K85/AA85</f>
        <v>1.7549622415714108</v>
      </c>
      <c r="AD85" s="10">
        <f>K85/AB85</f>
        <v>2.4118414336754945</v>
      </c>
      <c r="AE85" s="3"/>
      <c r="AF85" s="3">
        <v>3.79</v>
      </c>
      <c r="AG85" s="3"/>
      <c r="AH85" s="10">
        <f>AVERAGE(AE85:AG85)</f>
        <v>3.79</v>
      </c>
      <c r="AI85" s="3">
        <v>13.62</v>
      </c>
      <c r="AJ85" s="55"/>
      <c r="AK85" s="12"/>
      <c r="AL85" s="26"/>
      <c r="AM85" s="14"/>
    </row>
    <row r="86" spans="1:39" ht="16.2" thickBot="1" x14ac:dyDescent="0.35">
      <c r="A86" s="34" t="s">
        <v>61</v>
      </c>
      <c r="B86" s="42">
        <v>46001</v>
      </c>
      <c r="C86" s="34">
        <v>300</v>
      </c>
      <c r="D86" s="34" t="s">
        <v>31</v>
      </c>
      <c r="E86" s="34" t="s">
        <v>33</v>
      </c>
      <c r="F86" s="8"/>
      <c r="G86" s="38" t="s">
        <v>164</v>
      </c>
      <c r="H86" s="28">
        <v>0.86</v>
      </c>
      <c r="I86" s="27"/>
      <c r="J86" s="29"/>
      <c r="K86" s="29"/>
      <c r="L86" s="30">
        <f>SUM(K81:K85)*H86</f>
        <v>37.728199999999994</v>
      </c>
      <c r="M86" s="29">
        <f>MIN(M81:M85)</f>
        <v>13.509818181818183</v>
      </c>
      <c r="N86" s="71">
        <v>375</v>
      </c>
      <c r="O86" s="73">
        <v>14.14</v>
      </c>
      <c r="P86" s="58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60"/>
      <c r="AJ86" s="31" t="s">
        <v>155</v>
      </c>
      <c r="AK86" s="32">
        <v>1.5783</v>
      </c>
      <c r="AL86" s="57" t="s">
        <v>147</v>
      </c>
      <c r="AM86" s="14"/>
    </row>
    <row r="87" spans="1:39" ht="16.2" thickBot="1" x14ac:dyDescent="0.35">
      <c r="A87" s="15" t="s">
        <v>30</v>
      </c>
      <c r="B87" s="44">
        <v>46001</v>
      </c>
      <c r="C87" s="1">
        <v>300</v>
      </c>
      <c r="D87" s="7" t="s">
        <v>31</v>
      </c>
      <c r="E87" s="17" t="s">
        <v>34</v>
      </c>
      <c r="F87" s="10" t="s">
        <v>132</v>
      </c>
      <c r="G87" s="5" t="s">
        <v>156</v>
      </c>
      <c r="H87" s="16">
        <v>0.86</v>
      </c>
      <c r="I87" s="1" t="s">
        <v>32</v>
      </c>
      <c r="J87" s="19">
        <v>15.69</v>
      </c>
      <c r="K87" s="21">
        <f>J87-6.51</f>
        <v>9.18</v>
      </c>
      <c r="L87" s="20">
        <f>K87*H87</f>
        <v>7.8948</v>
      </c>
      <c r="M87" s="21">
        <f>L87/(275*2)*1000</f>
        <v>14.354181818181818</v>
      </c>
      <c r="N87" s="21"/>
      <c r="O87" s="21"/>
      <c r="P87" s="19">
        <v>212</v>
      </c>
      <c r="Q87" s="19">
        <v>226</v>
      </c>
      <c r="R87" s="19">
        <v>220</v>
      </c>
      <c r="S87" s="16">
        <v>163</v>
      </c>
      <c r="T87" s="16">
        <v>165</v>
      </c>
      <c r="U87" s="16">
        <v>177</v>
      </c>
      <c r="V87" s="22" cm="1">
        <f t="array" ref="V87">AVERAGE((P87:R87)-30.75)</f>
        <v>188.58333333333334</v>
      </c>
      <c r="W87" s="21">
        <f>V87/10000</f>
        <v>1.8858333333333335E-2</v>
      </c>
      <c r="X87" s="22">
        <f>AVERAGE(S87:U87)</f>
        <v>168.33333333333334</v>
      </c>
      <c r="Y87" s="21">
        <f>X87-30.75</f>
        <v>137.58333333333334</v>
      </c>
      <c r="Z87" s="20">
        <f>Y87/10000</f>
        <v>1.3758333333333334E-2</v>
      </c>
      <c r="AA87" s="20">
        <f>11*25*W87</f>
        <v>5.1860416666666671</v>
      </c>
      <c r="AB87" s="20">
        <f>11*25*Z87</f>
        <v>3.7835416666666668</v>
      </c>
      <c r="AC87" s="21">
        <f>K87/AA87</f>
        <v>1.7701361828626518</v>
      </c>
      <c r="AD87" s="21">
        <f>K87/AB87</f>
        <v>2.4262981113374811</v>
      </c>
      <c r="AE87" s="19"/>
      <c r="AF87" s="19">
        <v>3.89</v>
      </c>
      <c r="AG87" s="19"/>
      <c r="AH87" s="21">
        <f>AVERAGE(AE87:AG87)</f>
        <v>3.89</v>
      </c>
      <c r="AI87" s="19">
        <v>13.09</v>
      </c>
      <c r="AJ87" s="56"/>
      <c r="AK87" s="24"/>
      <c r="AL87" s="25"/>
      <c r="AM87" s="14"/>
    </row>
    <row r="88" spans="1:39" ht="16.2" thickBot="1" x14ac:dyDescent="0.35">
      <c r="A88" s="6" t="s">
        <v>30</v>
      </c>
      <c r="B88" s="44">
        <v>46001</v>
      </c>
      <c r="C88" s="1">
        <v>300</v>
      </c>
      <c r="D88" s="7" t="s">
        <v>31</v>
      </c>
      <c r="E88" s="17" t="s">
        <v>34</v>
      </c>
      <c r="F88" s="10" t="s">
        <v>134</v>
      </c>
      <c r="G88" s="5" t="s">
        <v>157</v>
      </c>
      <c r="H88" s="1">
        <v>0.86</v>
      </c>
      <c r="I88" s="1" t="s">
        <v>32</v>
      </c>
      <c r="J88" s="3">
        <v>15.22</v>
      </c>
      <c r="K88" s="10">
        <f>J88-6.51</f>
        <v>8.7100000000000009</v>
      </c>
      <c r="L88" s="9">
        <f>K88*H88</f>
        <v>7.4906000000000006</v>
      </c>
      <c r="M88" s="10">
        <f>L88/(275*2)*1000</f>
        <v>13.619272727272728</v>
      </c>
      <c r="N88" s="10"/>
      <c r="O88" s="10"/>
      <c r="P88" s="3">
        <v>211</v>
      </c>
      <c r="Q88" s="3">
        <v>210</v>
      </c>
      <c r="R88" s="3">
        <v>198</v>
      </c>
      <c r="S88" s="1">
        <v>164</v>
      </c>
      <c r="T88" s="1">
        <v>164</v>
      </c>
      <c r="U88" s="1">
        <v>159</v>
      </c>
      <c r="V88" s="11" cm="1">
        <f t="array" ref="V88">AVERAGE((P88:R88)-30.75)</f>
        <v>175.58333333333334</v>
      </c>
      <c r="W88" s="10">
        <f>V88/10000</f>
        <v>1.7558333333333336E-2</v>
      </c>
      <c r="X88" s="11">
        <f>AVERAGE(S88:U88)</f>
        <v>162.33333333333334</v>
      </c>
      <c r="Y88" s="10">
        <f>X88-30.75</f>
        <v>131.58333333333334</v>
      </c>
      <c r="Z88" s="9">
        <f>Y88/10000</f>
        <v>1.3158333333333334E-2</v>
      </c>
      <c r="AA88" s="9">
        <f>11*25*W88</f>
        <v>4.8285416666666672</v>
      </c>
      <c r="AB88" s="9">
        <f>11*25*Z88</f>
        <v>3.6185416666666668</v>
      </c>
      <c r="AC88" s="10">
        <f>K88/AA88</f>
        <v>1.8038572722958104</v>
      </c>
      <c r="AD88" s="10">
        <f>K88/AB88</f>
        <v>2.407047037826012</v>
      </c>
      <c r="AE88" s="3"/>
      <c r="AF88" s="3">
        <v>4.34</v>
      </c>
      <c r="AG88" s="3"/>
      <c r="AH88" s="10">
        <f>AVERAGE(AE88:AG88)</f>
        <v>4.34</v>
      </c>
      <c r="AI88" s="3">
        <v>13.51</v>
      </c>
      <c r="AJ88" s="13"/>
      <c r="AK88" s="12"/>
      <c r="AL88" s="26"/>
      <c r="AM88" s="14"/>
    </row>
    <row r="89" spans="1:39" ht="15.75" customHeight="1" thickBot="1" x14ac:dyDescent="0.35">
      <c r="A89" s="6" t="s">
        <v>30</v>
      </c>
      <c r="B89" s="44">
        <v>46001</v>
      </c>
      <c r="C89" s="1">
        <v>300</v>
      </c>
      <c r="D89" s="7" t="s">
        <v>31</v>
      </c>
      <c r="E89" s="17" t="s">
        <v>34</v>
      </c>
      <c r="F89" s="68" t="s">
        <v>161</v>
      </c>
      <c r="G89" s="5" t="s">
        <v>158</v>
      </c>
      <c r="H89" s="1">
        <v>0.86</v>
      </c>
      <c r="I89" s="1" t="s">
        <v>32</v>
      </c>
      <c r="J89" s="3">
        <v>15.37</v>
      </c>
      <c r="K89" s="10">
        <f>J89-6.51</f>
        <v>8.86</v>
      </c>
      <c r="L89" s="9">
        <f>K89*H89</f>
        <v>7.6195999999999993</v>
      </c>
      <c r="M89" s="10">
        <f>L89/(275*2)*1000</f>
        <v>13.85381818181818</v>
      </c>
      <c r="O89" s="72"/>
      <c r="P89" s="3">
        <v>212</v>
      </c>
      <c r="Q89" s="3">
        <v>221</v>
      </c>
      <c r="R89" s="3">
        <v>208</v>
      </c>
      <c r="S89" s="1">
        <v>153</v>
      </c>
      <c r="T89" s="1">
        <v>159</v>
      </c>
      <c r="U89" s="1">
        <v>165</v>
      </c>
      <c r="V89" s="11" cm="1">
        <f t="array" ref="V89">AVERAGE((P89:R89)-30.75)</f>
        <v>182.91666666666666</v>
      </c>
      <c r="W89" s="10">
        <f>V89/10000</f>
        <v>1.8291666666666664E-2</v>
      </c>
      <c r="X89" s="11">
        <f>AVERAGE(S89:U89)</f>
        <v>159</v>
      </c>
      <c r="Y89" s="10">
        <f>X89-30.75</f>
        <v>128.25</v>
      </c>
      <c r="Z89" s="9">
        <f>Y89/10000</f>
        <v>1.2825E-2</v>
      </c>
      <c r="AA89" s="9">
        <f>11*25*W89</f>
        <v>5.0302083333333325</v>
      </c>
      <c r="AB89" s="9">
        <f>11*25*Z89</f>
        <v>3.526875</v>
      </c>
      <c r="AC89" s="10">
        <f>K89/AA89</f>
        <v>1.7613584593083456</v>
      </c>
      <c r="AD89" s="10">
        <f>K89/AB89</f>
        <v>2.5121389331915647</v>
      </c>
      <c r="AE89" s="3"/>
      <c r="AF89" s="3">
        <v>4.1100000000000003</v>
      </c>
      <c r="AG89" s="3"/>
      <c r="AH89" s="10">
        <f>AVERAGE(AE89:AG89)</f>
        <v>4.1100000000000003</v>
      </c>
      <c r="AI89" s="3">
        <v>13.87</v>
      </c>
      <c r="AJ89" s="13"/>
      <c r="AK89" s="12"/>
      <c r="AL89" s="26"/>
      <c r="AM89" s="14"/>
    </row>
    <row r="90" spans="1:39" ht="16.2" thickBot="1" x14ac:dyDescent="0.35">
      <c r="A90" s="15" t="s">
        <v>30</v>
      </c>
      <c r="B90" s="44">
        <v>46001</v>
      </c>
      <c r="C90" s="1">
        <v>300</v>
      </c>
      <c r="D90" s="7" t="s">
        <v>31</v>
      </c>
      <c r="E90" s="17" t="s">
        <v>34</v>
      </c>
      <c r="F90" s="69" t="s">
        <v>154</v>
      </c>
      <c r="G90" s="5" t="s">
        <v>159</v>
      </c>
      <c r="H90" s="1">
        <v>0.86</v>
      </c>
      <c r="I90" s="1" t="s">
        <v>32</v>
      </c>
      <c r="J90" s="3">
        <v>14.78</v>
      </c>
      <c r="K90" s="10">
        <f>J90-6.51</f>
        <v>8.27</v>
      </c>
      <c r="L90" s="9">
        <f>K90*H90</f>
        <v>7.1121999999999996</v>
      </c>
      <c r="M90" s="10">
        <f>L90/(275*2)*1000</f>
        <v>12.931272727272727</v>
      </c>
      <c r="O90" s="72"/>
      <c r="P90" s="3">
        <v>182</v>
      </c>
      <c r="Q90" s="3">
        <v>198</v>
      </c>
      <c r="R90" s="3">
        <v>187</v>
      </c>
      <c r="S90" s="1">
        <v>156</v>
      </c>
      <c r="T90" s="1">
        <v>155</v>
      </c>
      <c r="U90" s="1">
        <v>160</v>
      </c>
      <c r="V90" s="11" cm="1">
        <f t="array" ref="V90">AVERAGE((P90:R90)-30.75)</f>
        <v>158.25</v>
      </c>
      <c r="W90" s="10">
        <f>V90/10000</f>
        <v>1.5824999999999999E-2</v>
      </c>
      <c r="X90" s="11">
        <f>AVERAGE(S90:U90)</f>
        <v>157</v>
      </c>
      <c r="Y90" s="10">
        <f>X90-30.75</f>
        <v>126.25</v>
      </c>
      <c r="Z90" s="9">
        <f>Y90/10000</f>
        <v>1.2625000000000001E-2</v>
      </c>
      <c r="AA90" s="9">
        <f>11*25*W90</f>
        <v>4.3518749999999997</v>
      </c>
      <c r="AB90" s="9">
        <f>11*25*Z90</f>
        <v>3.4718750000000003</v>
      </c>
      <c r="AC90" s="10">
        <f>K90/AA90</f>
        <v>1.9003303173919288</v>
      </c>
      <c r="AD90" s="10">
        <f>K90/AB90</f>
        <v>2.3819981998199817</v>
      </c>
      <c r="AE90" s="3"/>
      <c r="AF90" s="3">
        <v>7.64</v>
      </c>
      <c r="AG90" s="3"/>
      <c r="AH90" s="10">
        <f>AVERAGE(AE90:AG90)</f>
        <v>7.64</v>
      </c>
      <c r="AI90" s="3">
        <v>9.09</v>
      </c>
      <c r="AJ90" s="13"/>
      <c r="AK90" s="12"/>
      <c r="AL90" s="26"/>
      <c r="AM90" s="14"/>
    </row>
    <row r="91" spans="1:39" ht="15.6" x14ac:dyDescent="0.3">
      <c r="A91" s="6" t="s">
        <v>30</v>
      </c>
      <c r="B91" s="44">
        <v>46001</v>
      </c>
      <c r="C91" s="1">
        <v>300</v>
      </c>
      <c r="D91" s="7" t="s">
        <v>31</v>
      </c>
      <c r="E91" s="17" t="s">
        <v>34</v>
      </c>
      <c r="F91" s="8"/>
      <c r="G91" s="5" t="s">
        <v>160</v>
      </c>
      <c r="H91" s="1">
        <v>0.86</v>
      </c>
      <c r="I91" s="1" t="s">
        <v>32</v>
      </c>
      <c r="J91" s="3">
        <v>15.38</v>
      </c>
      <c r="K91" s="10">
        <f>J91-6.51</f>
        <v>8.870000000000001</v>
      </c>
      <c r="L91" s="9">
        <f>K91*H91</f>
        <v>7.6282000000000005</v>
      </c>
      <c r="M91" s="10">
        <f>L91/(275*2)*1000</f>
        <v>13.869454545454547</v>
      </c>
      <c r="O91" s="72"/>
      <c r="P91" s="3">
        <v>212</v>
      </c>
      <c r="Q91" s="3">
        <v>215</v>
      </c>
      <c r="R91" s="3">
        <v>205</v>
      </c>
      <c r="S91" s="1">
        <v>172</v>
      </c>
      <c r="T91" s="1">
        <v>169</v>
      </c>
      <c r="U91" s="1">
        <v>164</v>
      </c>
      <c r="V91" s="11" cm="1">
        <f t="array" ref="V91">AVERAGE((P91:R91)-30.75)</f>
        <v>179.91666666666666</v>
      </c>
      <c r="W91" s="10">
        <f>V91/10000</f>
        <v>1.7991666666666666E-2</v>
      </c>
      <c r="X91" s="11">
        <f>AVERAGE(S91:U91)</f>
        <v>168.33333333333334</v>
      </c>
      <c r="Y91" s="10">
        <f>X91-30.75</f>
        <v>137.58333333333334</v>
      </c>
      <c r="Z91" s="9">
        <f>Y91/10000</f>
        <v>1.3758333333333334E-2</v>
      </c>
      <c r="AA91" s="9">
        <f>11*25*W91</f>
        <v>4.9477083333333329</v>
      </c>
      <c r="AB91" s="9">
        <f>11*25*Z91</f>
        <v>3.7835416666666668</v>
      </c>
      <c r="AC91" s="10">
        <f>K91/AA91</f>
        <v>1.7927491683860377</v>
      </c>
      <c r="AD91" s="10">
        <f>K91/AB91</f>
        <v>2.3443642971202028</v>
      </c>
      <c r="AE91" s="3"/>
      <c r="AF91" s="3">
        <v>4.1399999999999997</v>
      </c>
      <c r="AG91" s="3"/>
      <c r="AH91" s="10">
        <f>AVERAGE(AE91:AG91)</f>
        <v>4.1399999999999997</v>
      </c>
      <c r="AI91" s="3">
        <v>14.15</v>
      </c>
      <c r="AJ91" s="55"/>
      <c r="AK91" s="12"/>
      <c r="AL91" s="26"/>
      <c r="AM91" s="14"/>
    </row>
    <row r="92" spans="1:39" ht="16.2" thickBot="1" x14ac:dyDescent="0.35">
      <c r="A92" s="34" t="s">
        <v>61</v>
      </c>
      <c r="B92" s="42">
        <v>46001</v>
      </c>
      <c r="C92" s="34">
        <v>300</v>
      </c>
      <c r="D92" s="34" t="s">
        <v>31</v>
      </c>
      <c r="E92" s="34" t="s">
        <v>33</v>
      </c>
      <c r="F92" s="70"/>
      <c r="G92" s="38" t="s">
        <v>163</v>
      </c>
      <c r="H92" s="28">
        <v>0.86</v>
      </c>
      <c r="I92" s="27"/>
      <c r="J92" s="29"/>
      <c r="K92" s="29"/>
      <c r="L92" s="30">
        <f>SUM(K87:K91)*H92</f>
        <v>37.745399999999997</v>
      </c>
      <c r="M92" s="29">
        <f>MIN(M87:M91)</f>
        <v>12.931272727272727</v>
      </c>
      <c r="N92" s="71">
        <v>200</v>
      </c>
      <c r="O92" s="73">
        <v>7.5</v>
      </c>
      <c r="P92" s="58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60"/>
      <c r="AJ92" s="31" t="s">
        <v>162</v>
      </c>
      <c r="AK92" s="32">
        <v>1.5559000000000001</v>
      </c>
      <c r="AL92" s="57" t="s">
        <v>147</v>
      </c>
      <c r="AM92" s="14"/>
    </row>
    <row r="93" spans="1:39" ht="15.75" customHeight="1" x14ac:dyDescent="0.3"/>
    <row r="97" ht="15.75" customHeight="1" x14ac:dyDescent="0.3"/>
    <row r="101" ht="15.75" customHeight="1" x14ac:dyDescent="0.3"/>
    <row r="105" ht="15.75" customHeight="1" x14ac:dyDescent="0.3"/>
    <row r="109" ht="15.75" customHeight="1" x14ac:dyDescent="0.3"/>
    <row r="113" ht="15.75" customHeight="1" x14ac:dyDescent="0.3"/>
    <row r="117" ht="15.75" customHeight="1" x14ac:dyDescent="0.3"/>
    <row r="121" ht="15.75" customHeight="1" x14ac:dyDescent="0.3"/>
    <row r="125" ht="15.75" customHeight="1" x14ac:dyDescent="0.3"/>
    <row r="129" ht="15.75" customHeight="1" x14ac:dyDescent="0.3"/>
    <row r="133" ht="15.75" customHeight="1" x14ac:dyDescent="0.3"/>
    <row r="137" ht="15.75" customHeight="1" x14ac:dyDescent="0.3"/>
    <row r="141" ht="15.75" customHeight="1" x14ac:dyDescent="0.3"/>
    <row r="145" ht="15.75" customHeight="1" x14ac:dyDescent="0.3"/>
    <row r="149" ht="15.75" customHeight="1" x14ac:dyDescent="0.3"/>
    <row r="153" ht="15.75" customHeight="1" x14ac:dyDescent="0.3"/>
    <row r="157" ht="15.75" customHeight="1" x14ac:dyDescent="0.3"/>
  </sheetData>
  <mergeCells count="47">
    <mergeCell ref="P80:AI80"/>
    <mergeCell ref="P86:AI86"/>
    <mergeCell ref="P92:AI92"/>
    <mergeCell ref="M1:M2"/>
    <mergeCell ref="N1:N2"/>
    <mergeCell ref="O1:O2"/>
    <mergeCell ref="P1:R2"/>
    <mergeCell ref="P74:AI74"/>
    <mergeCell ref="L1:L2"/>
    <mergeCell ref="F1:F2"/>
    <mergeCell ref="G1:G2"/>
    <mergeCell ref="I1:I2"/>
    <mergeCell ref="H1:H2"/>
    <mergeCell ref="J1:J2"/>
    <mergeCell ref="K1:K2"/>
    <mergeCell ref="A1:A2"/>
    <mergeCell ref="B1:B2"/>
    <mergeCell ref="C1:C2"/>
    <mergeCell ref="D1:D2"/>
    <mergeCell ref="E1:E2"/>
    <mergeCell ref="P20:AI20"/>
    <mergeCell ref="P8:AI8"/>
    <mergeCell ref="P14:AI14"/>
    <mergeCell ref="AA1:AA2"/>
    <mergeCell ref="AL1:AL2"/>
    <mergeCell ref="AC1:AC2"/>
    <mergeCell ref="AD1:AD2"/>
    <mergeCell ref="AE1:AG2"/>
    <mergeCell ref="AH1:AH2"/>
    <mergeCell ref="AJ1:AJ2"/>
    <mergeCell ref="AK1:AK2"/>
    <mergeCell ref="AB1:AB2"/>
    <mergeCell ref="S1:U2"/>
    <mergeCell ref="V1:V2"/>
    <mergeCell ref="AI1:AI2"/>
    <mergeCell ref="W1:W2"/>
    <mergeCell ref="X1:X2"/>
    <mergeCell ref="Y1:Y2"/>
    <mergeCell ref="Z1:Z2"/>
    <mergeCell ref="P50:AI50"/>
    <mergeCell ref="P56:AI56"/>
    <mergeCell ref="P62:AI62"/>
    <mergeCell ref="P68:AI68"/>
    <mergeCell ref="P26:AI26"/>
    <mergeCell ref="P32:AI32"/>
    <mergeCell ref="P38:AI38"/>
    <mergeCell ref="P44:AI44"/>
  </mergeCells>
  <dataValidations count="1">
    <dataValidation type="list" allowBlank="1" showInputMessage="1" showErrorMessage="1" sqref="A3:A7 A9:A13 A15:A19 A39:A43 A33:A37 A21:A25 A27:A31 A57:A61 A45:A49 A51:A55 A63:A67 A81:A85 A69:A73 A75:A79 A87:A91" xr:uid="{C0149C37-497E-495A-B4A3-D286391EA6B9}">
      <formula1>"VN,CA,GF"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918EF3513A479D76537054B47220" ma:contentTypeVersion="16" ma:contentTypeDescription="Create a new document." ma:contentTypeScope="" ma:versionID="e0baad0948076f9f0642bee16fc3f14a">
  <xsd:schema xmlns:xsd="http://www.w3.org/2001/XMLSchema" xmlns:xs="http://www.w3.org/2001/XMLSchema" xmlns:p="http://schemas.microsoft.com/office/2006/metadata/properties" xmlns:ns2="c73e508b-22c7-49b2-a98a-aaf68d95e589" xmlns:ns3="5c871912-4488-4ff6-be54-10fe1ca22db6" targetNamespace="http://schemas.microsoft.com/office/2006/metadata/properties" ma:root="true" ma:fieldsID="6d5acc9b15fd7c70ffcc0aa341dc8b96" ns2:_="" ns3:_="">
    <xsd:import namespace="c73e508b-22c7-49b2-a98a-aaf68d95e589"/>
    <xsd:import namespace="5c871912-4488-4ff6-be54-10fe1ca22d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e508b-22c7-49b2-a98a-aaf68d95e58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1d2dc7b-4025-4cdf-978b-7cef7828fab4}" ma:internalName="TaxCatchAll" ma:showField="CatchAllData" ma:web="c73e508b-22c7-49b2-a98a-aaf68d95e5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71912-4488-4ff6-be54-10fe1ca22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5450b92d-edb3-423e-b98e-1f48ef9c53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71912-4488-4ff6-be54-10fe1ca22db6">
      <Terms xmlns="http://schemas.microsoft.com/office/infopath/2007/PartnerControls"/>
    </lcf76f155ced4ddcb4097134ff3c332f>
    <TaxCatchAll xmlns="c73e508b-22c7-49b2-a98a-aaf68d95e589" xsi:nil="true"/>
  </documentManagement>
</p:properties>
</file>

<file path=customXml/itemProps1.xml><?xml version="1.0" encoding="utf-8"?>
<ds:datastoreItem xmlns:ds="http://schemas.openxmlformats.org/officeDocument/2006/customXml" ds:itemID="{567B5BEC-CD94-479D-8F09-617404ABAE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3e508b-22c7-49b2-a98a-aaf68d95e589"/>
    <ds:schemaRef ds:uri="5c871912-4488-4ff6-be54-10fe1ca22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530DBB-B958-452C-B30A-2BDD0DA80D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2576F7-ECE7-4EEA-8CCA-9D061603997B}">
  <ds:schemaRefs>
    <ds:schemaRef ds:uri="http://schemas.microsoft.com/office/2006/metadata/properties"/>
    <ds:schemaRef ds:uri="http://schemas.microsoft.com/office/infopath/2007/PartnerControls"/>
    <ds:schemaRef ds:uri="5c871912-4488-4ff6-be54-10fe1ca22db6"/>
    <ds:schemaRef ds:uri="c73e508b-22c7-49b2-a98a-aaf68d95e5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Data_LFC_Under Work_VN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Design PC</dc:creator>
  <cp:keywords/>
  <dc:description/>
  <cp:lastModifiedBy>Robert Black</cp:lastModifiedBy>
  <cp:revision/>
  <dcterms:created xsi:type="dcterms:W3CDTF">2015-06-05T18:17:20Z</dcterms:created>
  <dcterms:modified xsi:type="dcterms:W3CDTF">2025-12-15T17:56:12Z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0x0101003D6A918EF3513A479D76537054B47220</vt:lpwstr>
  </property>
  <property fmtid="{D5CDD505-2E9C-101B-9397-08002B2CF9AE}" pid="3" name="MediaServiceImageTags">
    <vt:lpwstr/>
  </property>
</Properties>
</file>